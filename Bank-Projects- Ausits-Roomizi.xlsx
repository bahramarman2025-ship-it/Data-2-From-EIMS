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codeName="ThisWorkbook" defaultThemeVersion="124226"/>
  <xr:revisionPtr revIDLastSave="0" documentId="13_ncr:1_{46C4981C-0B32-44AC-8069-1F1158E69DD3}" xr6:coauthVersionLast="47" xr6:coauthVersionMax="47" xr10:uidLastSave="{00000000-0000-0000-0000-000000000000}"/>
  <bookViews>
    <workbookView xWindow="-120" yWindow="-120" windowWidth="38640" windowHeight="21120" xr2:uid="{00000000-000D-0000-FFFF-FFFF00000000}"/>
  </bookViews>
  <sheets>
    <sheet name="Mountlly-R" sheetId="3" r:id="rId1"/>
    <sheet name="Audit" sheetId="1" r:id="rId2"/>
    <sheet name="Projects" sheetId="2" r:id="rId3"/>
    <sheet name="Candle estick Chart" sheetId="5" r:id="rId4"/>
    <sheet name="General- Info" sheetId="4" r:id="rId5"/>
    <sheet name="Item Banks" sheetId="6" r:id="rId6"/>
  </sheets>
  <externalReferences>
    <externalReference r:id="rId7"/>
  </externalReferences>
  <definedNames>
    <definedName name="_xlnm.Print_Area" localSheetId="1">Audit!$A$1:$S$18</definedName>
    <definedName name="_xlnm.Print_Area" localSheetId="0">'Mountlly-R'!$A$1:$AC$97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9" i="3" l="1"/>
  <c r="O9" i="3"/>
  <c r="W9" i="3"/>
  <c r="N9" i="3"/>
  <c r="R78" i="3"/>
  <c r="R76" i="3"/>
  <c r="R77" i="3"/>
  <c r="Q77" i="3"/>
  <c r="Q78" i="3"/>
  <c r="Q76" i="3"/>
  <c r="L78" i="3"/>
  <c r="L77" i="3"/>
  <c r="L76" i="3"/>
  <c r="V78" i="3"/>
  <c r="V77" i="3"/>
  <c r="V76" i="3"/>
  <c r="T77" i="3"/>
  <c r="O84" i="3"/>
  <c r="O85" i="3"/>
  <c r="O86" i="3"/>
  <c r="O87" i="3"/>
  <c r="O88" i="3"/>
  <c r="O89" i="3"/>
  <c r="O90" i="3"/>
  <c r="O91" i="3"/>
  <c r="O92" i="3"/>
  <c r="O93" i="3"/>
  <c r="O94" i="3"/>
  <c r="O95" i="3"/>
  <c r="O96" i="3"/>
  <c r="O97" i="3"/>
  <c r="O83" i="3"/>
  <c r="X85" i="3"/>
  <c r="B76" i="3"/>
  <c r="G76" i="3"/>
  <c r="H76" i="3"/>
  <c r="J76" i="3"/>
  <c r="B77" i="3"/>
  <c r="G77" i="3"/>
  <c r="H77" i="3"/>
  <c r="J77" i="3"/>
  <c r="B78" i="3"/>
  <c r="G78" i="3"/>
  <c r="H78" i="3"/>
  <c r="J78" i="3"/>
  <c r="F3" i="5"/>
  <c r="G3" i="5"/>
  <c r="C57" i="3"/>
  <c r="C56" i="3"/>
  <c r="C55" i="3"/>
  <c r="C54" i="3"/>
  <c r="C53" i="3"/>
  <c r="D57" i="3"/>
  <c r="D56" i="3"/>
  <c r="D55" i="3"/>
  <c r="D54" i="3"/>
  <c r="D53" i="3"/>
  <c r="C44" i="5"/>
  <c r="C42" i="5"/>
  <c r="C40" i="5"/>
  <c r="C38" i="5"/>
  <c r="C36" i="5"/>
  <c r="B43" i="5"/>
  <c r="B41" i="5"/>
  <c r="B39" i="5"/>
  <c r="B37" i="5"/>
  <c r="B35" i="5"/>
  <c r="C34" i="5"/>
  <c r="D34" i="5"/>
  <c r="E34" i="5"/>
  <c r="J19" i="2"/>
  <c r="J15" i="2"/>
  <c r="K12" i="2"/>
  <c r="K7" i="2"/>
  <c r="H53" i="3" l="1"/>
  <c r="H57" i="3"/>
  <c r="H56" i="3"/>
  <c r="H55" i="3"/>
  <c r="H54" i="3"/>
  <c r="G4" i="5"/>
  <c r="G5" i="5" s="1"/>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F4" i="5"/>
  <c r="B3" i="5"/>
  <c r="B34" i="5" s="1"/>
  <c r="F5" i="5" l="1"/>
  <c r="F6" i="5" s="1"/>
  <c r="F7" i="5" s="1"/>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G34" i="5"/>
  <c r="F34"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75" authorId="0" shapeId="0" xr:uid="{1764FE2A-9018-40A8-82D4-7203A9DE8BDB}">
      <text>
        <r>
          <rPr>
            <b/>
            <sz val="9"/>
            <color indexed="81"/>
            <rFont val="Tahoma"/>
            <family val="2"/>
          </rPr>
          <t xml:space="preserve">نسبت به ماه قبل کنترل میشه که تعداد روز ها بیشتر بود یا کمتر ، تناسب فرصت کاری رو لحاظ کنه .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4" authorId="0" shapeId="0" xr:uid="{3C761B03-237F-4F98-8B54-A1DF00C716E9}">
      <text>
        <r>
          <rPr>
            <b/>
            <sz val="9"/>
            <color indexed="81"/>
            <rFont val="Tahoma"/>
            <family val="2"/>
          </rPr>
          <t>Periodic Internal Audit</t>
        </r>
      </text>
    </comment>
    <comment ref="G5" authorId="0" shapeId="0" xr:uid="{6D7539E5-C6DF-472C-8531-648625D638B7}">
      <text>
        <r>
          <rPr>
            <b/>
            <sz val="9"/>
            <color indexed="81"/>
            <rFont val="Tahoma"/>
            <family val="2"/>
          </rPr>
          <t>Unannounced Internal Audit</t>
        </r>
      </text>
    </comment>
    <comment ref="G6" authorId="0" shapeId="0" xr:uid="{4E0100D7-B58F-4F1A-9191-5A12C0B19A32}">
      <text>
        <r>
          <rPr>
            <sz val="9"/>
            <color indexed="81"/>
            <rFont val="Tahoma"/>
            <family val="2"/>
          </rPr>
          <t>Unannounced  Audit by Technical Services</t>
        </r>
      </text>
    </comment>
    <comment ref="G7" authorId="0" shapeId="0" xr:uid="{3AE3CED9-75B0-4032-8C9F-42CD30F26F3C}">
      <text>
        <r>
          <rPr>
            <b/>
            <sz val="9"/>
            <color indexed="81"/>
            <rFont val="Tahoma"/>
            <family val="2"/>
          </rPr>
          <t>Periodic  Audit By TS</t>
        </r>
        <r>
          <rPr>
            <sz val="9"/>
            <color indexed="81"/>
            <rFont val="Tahoma"/>
            <family val="2"/>
          </rPr>
          <t xml:space="preserve">
</t>
        </r>
      </text>
    </comment>
    <comment ref="G8" authorId="0" shapeId="0" xr:uid="{58EB5547-2AEE-4B1B-8C22-11E6E2FAD679}">
      <text>
        <r>
          <rPr>
            <b/>
            <sz val="9"/>
            <color indexed="81"/>
            <rFont val="Tahoma"/>
            <family val="2"/>
          </rPr>
          <t>Periodic  Audit By TS</t>
        </r>
        <r>
          <rPr>
            <sz val="9"/>
            <color indexed="81"/>
            <rFont val="Tahoma"/>
            <family val="2"/>
          </rPr>
          <t xml:space="preserve">
</t>
        </r>
      </text>
    </comment>
    <comment ref="G10" authorId="0" shapeId="0" xr:uid="{8EE2F5AE-DBCE-4362-9C13-F38B0CB3D1DF}">
      <text>
        <r>
          <rPr>
            <sz val="9"/>
            <color indexed="81"/>
            <rFont val="Tahoma"/>
            <family val="2"/>
          </rPr>
          <t>Unannounced  Audit by Technical Services</t>
        </r>
      </text>
    </comment>
    <comment ref="G11" authorId="0" shapeId="0" xr:uid="{9862E31F-1350-4024-B21E-38334C579B16}">
      <text>
        <r>
          <rPr>
            <b/>
            <sz val="9"/>
            <color indexed="81"/>
            <rFont val="Tahoma"/>
            <family val="2"/>
          </rPr>
          <t>Periodic Internal Audit</t>
        </r>
      </text>
    </comment>
    <comment ref="G12" authorId="0" shapeId="0" xr:uid="{1B83D508-1750-44CB-B30A-4B67762FED80}">
      <text>
        <r>
          <rPr>
            <b/>
            <sz val="9"/>
            <color indexed="81"/>
            <rFont val="Tahoma"/>
            <family val="2"/>
          </rPr>
          <t>Periodic Internal Audit</t>
        </r>
      </text>
    </comment>
    <comment ref="G13" authorId="0" shapeId="0" xr:uid="{1DA25569-5E86-4FAE-8C45-9D1C4B9AB078}">
      <text>
        <r>
          <rPr>
            <b/>
            <sz val="9"/>
            <color indexed="81"/>
            <rFont val="Tahoma"/>
            <family val="2"/>
          </rPr>
          <t>Unannounced Internal Audit</t>
        </r>
      </text>
    </comment>
    <comment ref="G15" authorId="0" shapeId="0" xr:uid="{51F29B7B-765A-4C54-8EA8-CA1AA9BF05A3}">
      <text>
        <r>
          <rPr>
            <b/>
            <sz val="9"/>
            <color indexed="81"/>
            <rFont val="Tahoma"/>
            <family val="2"/>
          </rPr>
          <t>Periodic  Audit By TS</t>
        </r>
        <r>
          <rPr>
            <sz val="9"/>
            <color indexed="81"/>
            <rFont val="Tahoma"/>
            <family val="2"/>
          </rPr>
          <t xml:space="preserve">
</t>
        </r>
      </text>
    </comment>
    <comment ref="G16" authorId="0" shapeId="0" xr:uid="{BD599077-115E-4A00-96F3-B760CA84BA4A}">
      <text>
        <r>
          <rPr>
            <b/>
            <sz val="9"/>
            <color indexed="81"/>
            <rFont val="Tahoma"/>
            <family val="2"/>
          </rPr>
          <t>Periodic  Audit By TS</t>
        </r>
        <r>
          <rPr>
            <sz val="9"/>
            <color indexed="81"/>
            <rFont val="Tahoma"/>
            <family val="2"/>
          </rPr>
          <t xml:space="preserve">
</t>
        </r>
      </text>
    </comment>
    <comment ref="G17" authorId="0" shapeId="0" xr:uid="{D1BB424E-2FFA-4D3F-9608-430F8BB45EE4}">
      <text>
        <r>
          <rPr>
            <b/>
            <sz val="9"/>
            <color indexed="81"/>
            <rFont val="Tahoma"/>
            <family val="2"/>
          </rPr>
          <t>Periodic  Audit By TS</t>
        </r>
        <r>
          <rPr>
            <sz val="9"/>
            <color indexed="81"/>
            <rFont val="Tahoma"/>
            <family val="2"/>
          </rPr>
          <t xml:space="preserve">
</t>
        </r>
      </text>
    </comment>
    <comment ref="G18" authorId="0" shapeId="0" xr:uid="{1FC2F51D-D45F-400B-82D2-1346180E0EE3}">
      <text>
        <r>
          <rPr>
            <b/>
            <sz val="9"/>
            <color indexed="81"/>
            <rFont val="Tahoma"/>
            <family val="2"/>
          </rPr>
          <t>Periodic  Audit By TS</t>
        </r>
        <r>
          <rPr>
            <sz val="9"/>
            <color indexed="81"/>
            <rFont val="Tahoma"/>
            <family val="2"/>
          </rPr>
          <t xml:space="preserve">
</t>
        </r>
      </text>
    </comment>
  </commentList>
</comments>
</file>

<file path=xl/sharedStrings.xml><?xml version="1.0" encoding="utf-8"?>
<sst xmlns="http://schemas.openxmlformats.org/spreadsheetml/2006/main" count="855" uniqueCount="387">
  <si>
    <t>ردیف</t>
  </si>
  <si>
    <t>سالن</t>
  </si>
  <si>
    <t>توضیحات</t>
  </si>
  <si>
    <t>در حال پیگیری</t>
  </si>
  <si>
    <t xml:space="preserve">اقدام اصلاحی </t>
  </si>
  <si>
    <t xml:space="preserve">اقدام پیشگیرانه </t>
  </si>
  <si>
    <t>رفع مغایرت</t>
  </si>
  <si>
    <t>اکشن اجراء</t>
  </si>
  <si>
    <t>رنگ3</t>
  </si>
  <si>
    <t>عكس شماره 1 استفاده از تجهيزات پرمصرف( لامپ لگني سوله اي)</t>
  </si>
  <si>
    <t>برق</t>
  </si>
  <si>
    <t>*</t>
  </si>
  <si>
    <t xml:space="preserve">درجهت تامين چراغ هاي ال اي دي، درخواست خريد به صورت تجميعي  توسط واحد بهينه سازي انرژي ارسال گرديده است  وتا اين لحظه  به دليل عدم تحويل قطعه در سالن رنگ 3 تعويض نشده است </t>
  </si>
  <si>
    <t>عكس شماره 2 استفاده از تجهيزات پرمصرف( لامپ فلورسنت )</t>
  </si>
  <si>
    <t xml:space="preserve">تعويض لامپ فلورسنت با لامپ ال اي دي </t>
  </si>
  <si>
    <t xml:space="preserve">عكس شماره 3 نشتي آب از شير هاي رستوران </t>
  </si>
  <si>
    <t>آب</t>
  </si>
  <si>
    <t xml:space="preserve">رفع نشتي با تعويض و تعمير مغزي شير </t>
  </si>
  <si>
    <t>پيش رنگ3</t>
  </si>
  <si>
    <t>عكس شماره 4 استفاده از روشنايي فلورسنت در راهروي اداري و لول 0.0</t>
  </si>
  <si>
    <t>پس از تامين لامپ درخواستي طي مراحل درخواست،لامپهاي فلورسنت تعويض ميگردند.</t>
  </si>
  <si>
    <t>طي مراحل درخواست شماره 6500026941  توسط واحد بهينه سازي انرژي  قطعات به صورت مرحله ايي در حال تامين مي باشد.پس از هر مرحله تامين ،لامپهاي فلورسنت تعويض ميگردند و طي مراحل درخواست نيز عنوان شده است كه با توجه به عدم شفافيت نحوه تامين لامپ هاي درخواستي، در صورت ثبت مغايرت با منشاء روشنايي مسئوليت با واحد  بهينه سازي انرژي مي باشد.</t>
  </si>
  <si>
    <t>عكس شماره 5،بالا بودن دماي محيط اداري</t>
  </si>
  <si>
    <t>مغايرت نمي باشد</t>
  </si>
  <si>
    <t>محيط اداري سالن پيشرنگ 3 ، ما بين  كوره رنگ 3 و مخازن pt-ed  مي باشد و محيط در حالت عادي نيز گرم مي باشد و فن كويل هاي دفاتر نيز خاموش مي باشد.لازم به ذكر است انتهاي خط نيز دفاتري وجود دارند كه داراي محيط سرد مي باشند و با اين دفاتر مشترك هستند.از اينرو با توجه به فصل سرما ، آيتم مذكور مغايرت نمي باشد.</t>
  </si>
  <si>
    <t>شرح  عنوان مغايرت</t>
  </si>
  <si>
    <t>بانك مميزي   مميزي انرژي</t>
  </si>
  <si>
    <t xml:space="preserve">دوره اي - داخلي </t>
  </si>
  <si>
    <t>نامحسوس - داخلي</t>
  </si>
  <si>
    <t xml:space="preserve">نوع مميزي </t>
  </si>
  <si>
    <t>ليست پروژه هاي انرژي  سالن  هاي رنگ 1  شركت ايرانخودرو</t>
  </si>
  <si>
    <t>رديف</t>
  </si>
  <si>
    <t>كد شناسايي سيستم  داخلي</t>
  </si>
  <si>
    <t xml:space="preserve">عنوان پروژه </t>
  </si>
  <si>
    <t>مديريت</t>
  </si>
  <si>
    <t>اداره</t>
  </si>
  <si>
    <t>سال ارائه</t>
  </si>
  <si>
    <t>حامل</t>
  </si>
  <si>
    <t>واحد حامل</t>
  </si>
  <si>
    <t>مقدار صرفه جوئی مصرف</t>
  </si>
  <si>
    <t>مقدار ریالی کاهش هزینه(ریال)</t>
  </si>
  <si>
    <t>هزينه اجرا</t>
  </si>
  <si>
    <t>کد ثبت مدیریت رنگ(کاهش هزینه) CPHR</t>
  </si>
  <si>
    <t>نامه ي
 پروژه</t>
  </si>
  <si>
    <t xml:space="preserve">نامه ي
 مرتبط </t>
  </si>
  <si>
    <t>شماره ي پيشنهاد</t>
  </si>
  <si>
    <t>درصد اجراء</t>
  </si>
  <si>
    <t>پايلوت اجراء</t>
  </si>
  <si>
    <t>كد پرسنلي</t>
  </si>
  <si>
    <t>تاریخ شروع</t>
  </si>
  <si>
    <t xml:space="preserve">تاريخ خاتمه </t>
  </si>
  <si>
    <t>وضعيت</t>
  </si>
  <si>
    <t>توضيحات</t>
  </si>
  <si>
    <t>1</t>
  </si>
  <si>
    <t>P1E1-1402</t>
  </si>
  <si>
    <t>پروژه ي  بهينه سازي انرژي عايق بندي لوله هاي آب گرم و سرد ( سرمايش گرمايش فن كوييل ها ) سالن كنفرانس دنا</t>
  </si>
  <si>
    <t>نت سالن هاي رنگ</t>
  </si>
  <si>
    <t>نت رنگ 1و 3</t>
  </si>
  <si>
    <t xml:space="preserve">رنگ1 </t>
  </si>
  <si>
    <t>KWH</t>
  </si>
  <si>
    <t>-</t>
  </si>
  <si>
    <t>صبوري</t>
  </si>
  <si>
    <t>1401/10/15</t>
  </si>
  <si>
    <t>1402.02.30</t>
  </si>
  <si>
    <t>انجام شد</t>
  </si>
  <si>
    <t>تهيه عايق و اجرا</t>
  </si>
  <si>
    <t>P1F1-1402</t>
  </si>
  <si>
    <t>m^3</t>
  </si>
  <si>
    <t>گاز</t>
  </si>
  <si>
    <t>هواي فشرده</t>
  </si>
  <si>
    <t>2</t>
  </si>
  <si>
    <t>P1E2-1402</t>
  </si>
  <si>
    <t xml:space="preserve">اينتر لاك كردن كاركركرد  كولر هاي گازي  تابلو برق هاي كنترل هواساز هاي حوزه ي پروسس با زمان كاركرد الكرتو فن هاي آن </t>
  </si>
  <si>
    <t>حسن آبادي</t>
  </si>
  <si>
    <t>1401.11.15</t>
  </si>
  <si>
    <r>
      <t>1402.0</t>
    </r>
    <r>
      <rPr>
        <sz val="16"/>
        <color theme="1"/>
        <rFont val="B Nazanin"/>
        <charset val="178"/>
      </rPr>
      <t>3</t>
    </r>
    <r>
      <rPr>
        <sz val="14"/>
        <color theme="1"/>
        <rFont val="B Nazanin"/>
        <charset val="178"/>
      </rPr>
      <t>.30</t>
    </r>
  </si>
  <si>
    <t>انجام شده</t>
  </si>
  <si>
    <t>3</t>
  </si>
  <si>
    <t>پروژه بهينه سازي مصرف آب بازگرداني نشتي آب  پمپ هاي سيركوله بويلرهاي  سالن رنگ 1 به مدار اصلي جهت مصرف دوباره</t>
  </si>
  <si>
    <t xml:space="preserve">140111534815
14021527874
14021576811
1402629117
14021793043
14021787305
14021787343
14021793043
1402638924
</t>
  </si>
  <si>
    <t>روستايي</t>
  </si>
  <si>
    <t>1401/11/10</t>
  </si>
  <si>
    <t>1402/07/31</t>
  </si>
  <si>
    <t>رها شده</t>
  </si>
  <si>
    <t xml:space="preserve">1) قطعات از شامل 
2) تابلو كنترل 
3) سوراخ كردن سقف </t>
  </si>
  <si>
    <t>P1W3-1402</t>
  </si>
  <si>
    <t>4</t>
  </si>
  <si>
    <t xml:space="preserve">كاهش مصرف انرژي برق با اجراي كنترل اتوماتيك و برنامه ريزي شده ي هواكش هاي آكسيال تهويه سقفي محدود هي كوره  شمال غربي سالن رنگ 1   </t>
  </si>
  <si>
    <t>در حال تنظيم منشور پروژه</t>
  </si>
  <si>
    <t>1404/12/29</t>
  </si>
  <si>
    <t>1405/12/29</t>
  </si>
  <si>
    <t>در جريان</t>
  </si>
  <si>
    <t>تهيه لگو  ويا فرمان از كارت PLC بررسي شود</t>
  </si>
  <si>
    <t>P1W3-1405</t>
  </si>
  <si>
    <t>5</t>
  </si>
  <si>
    <t>كاهش مصرف انرژي برق با اجراي كنترل اتوماتيك و برنامه ريزي شده ي هواكش هاي آكسيال تهويه سقفي محدوده ي پلتفرم PBS سالن رنگ 1</t>
  </si>
  <si>
    <t>6</t>
  </si>
  <si>
    <t xml:space="preserve">كاهش مصرف سوخت با اصلاح Expantion Joint ايرسيل كوره ي 3 رويه </t>
  </si>
  <si>
    <t xml:space="preserve">گزارش عملکرد ماهیانه کمیته انرژی </t>
  </si>
  <si>
    <t xml:space="preserve">مدیریت رنگ </t>
  </si>
  <si>
    <t>سالن هاي</t>
  </si>
  <si>
    <t>رنگ1و رنگ3</t>
  </si>
  <si>
    <t xml:space="preserve">سالن: </t>
  </si>
  <si>
    <t xml:space="preserve"> رنگ 1</t>
  </si>
  <si>
    <t>ارديبهشت</t>
  </si>
  <si>
    <t xml:space="preserve">/ </t>
  </si>
  <si>
    <t>خرداد</t>
  </si>
  <si>
    <t>نوع حامل</t>
  </si>
  <si>
    <t xml:space="preserve">ارديبهشت ماه </t>
  </si>
  <si>
    <t xml:space="preserve"> کاهش یا افزایش مصرف نسبت به مشابه ماه سال قبل</t>
  </si>
  <si>
    <t xml:space="preserve"> کاهش یا افزایش مصرف ماه جاري  نسبت به ماه قبل</t>
  </si>
  <si>
    <t>درصد</t>
  </si>
  <si>
    <t>دلايل تغييرات</t>
  </si>
  <si>
    <t>مقدار  مصرف
(KWH-m^3)</t>
  </si>
  <si>
    <t xml:space="preserve">سرانه مصرف به ازای بدنه </t>
  </si>
  <si>
    <t>مبلغ قبض
(به ریال)</t>
  </si>
  <si>
    <t>رخ داد ها</t>
  </si>
  <si>
    <t xml:space="preserve">زمان  توليد </t>
  </si>
  <si>
    <t xml:space="preserve">تعداد  توليد </t>
  </si>
  <si>
    <t xml:space="preserve">برق </t>
  </si>
  <si>
    <t xml:space="preserve"> پساب صنعتی</t>
  </si>
  <si>
    <t>آب صنعتی</t>
  </si>
  <si>
    <t>آب نرم</t>
  </si>
  <si>
    <t>آب شرب</t>
  </si>
  <si>
    <t>آب Di</t>
  </si>
  <si>
    <t>گازM3</t>
  </si>
  <si>
    <t>هوای فشرده</t>
  </si>
  <si>
    <t>جمع کل هزينه به ريال</t>
  </si>
  <si>
    <t>وضعیت پروژه ها سال1405</t>
  </si>
  <si>
    <t>نوع 
حامل</t>
  </si>
  <si>
    <t>مقدار صرفه جوئی مصرف حامل</t>
  </si>
  <si>
    <t>واحد</t>
  </si>
  <si>
    <t xml:space="preserve"> کاهش هزینه
(ریال)</t>
  </si>
  <si>
    <t>تاریخ شروع
اجراء پروژه</t>
  </si>
  <si>
    <t>تاریخ پايان
اجراء پروژه</t>
  </si>
  <si>
    <t>درصد
 اجراء
پروژه</t>
  </si>
  <si>
    <t>شماره
 نامه</t>
  </si>
  <si>
    <t>کد ثبت 
مدیریت رنگ
 CPHR</t>
  </si>
  <si>
    <t>وضعيت
انجام</t>
  </si>
  <si>
    <t>انجام
شد</t>
  </si>
  <si>
    <t>هواي
 فشرده</t>
  </si>
  <si>
    <t>وضعیت ممیزی های انرژی 1405</t>
  </si>
  <si>
    <t>نوع ممیزی</t>
  </si>
  <si>
    <t>عنوان مغایرت</t>
  </si>
  <si>
    <t>تاریخ ممیزی</t>
  </si>
  <si>
    <t>وضعیت مغایرت</t>
  </si>
  <si>
    <t>رفع شده</t>
  </si>
  <si>
    <t>نامشخص</t>
  </si>
  <si>
    <t xml:space="preserve"> درصد افزايش/كاهش</t>
  </si>
  <si>
    <t>گزارش مصرف ماهانه حامل های انرژي</t>
  </si>
  <si>
    <t>رنگ 1</t>
  </si>
  <si>
    <t>سيستمي-خدمات فني</t>
  </si>
  <si>
    <t>نامحسوس - خدمات فني</t>
  </si>
  <si>
    <t>دوره اي -  خدمات فني</t>
  </si>
  <si>
    <t xml:space="preserve">عدم  تطبيق ديتا بيس SAP باداده هاي ميداني  اندازه گيري شده </t>
  </si>
  <si>
    <t>سيستمي</t>
  </si>
  <si>
    <t>نوع 
مغايرت</t>
  </si>
  <si>
    <t>پوسیدگی شدید لوله های موتورخانه سالن رنگ1</t>
  </si>
  <si>
    <t>شکستگی شیشه کابین رویه سالن رنگ1</t>
  </si>
  <si>
    <t>عدم نظافت شیشه های  سالن</t>
  </si>
  <si>
    <t>نشتی آب از یخ ساز رستوران رنگ1</t>
  </si>
  <si>
    <t>داراي RFQ اقدام مي باشد</t>
  </si>
  <si>
    <t>داراي Mocr اقدام مي باشد</t>
  </si>
  <si>
    <t>ارجاع به واحد نظافت سالن</t>
  </si>
  <si>
    <t>در دستور كار براي بازديد و MOCRقرار گرفت .</t>
  </si>
  <si>
    <t>شماره نامه
ارجاعي</t>
  </si>
  <si>
    <t>1405/05/13</t>
  </si>
  <si>
    <t>1404/08/04</t>
  </si>
  <si>
    <t>1405/03/04</t>
  </si>
  <si>
    <t>1404/02/03</t>
  </si>
  <si>
    <t>1404/06/04</t>
  </si>
  <si>
    <t>1404/06/03</t>
  </si>
  <si>
    <t>پيش رنگ4</t>
  </si>
  <si>
    <t>1405/02/01</t>
  </si>
  <si>
    <t>1405/02/25</t>
  </si>
  <si>
    <t xml:space="preserve"> تامين لامپ  و رفع مغايرت</t>
  </si>
  <si>
    <t>برنامه تامين  و پيش بيني ذخيره لازم</t>
  </si>
  <si>
    <t xml:space="preserve"> تامين لامپ </t>
  </si>
  <si>
    <t>اندازه گيري مقادير اكچوآل  در سايت + اصلاح در جدول</t>
  </si>
  <si>
    <t xml:space="preserve">تاكيد بركنترل چك ليست هاي مميزي </t>
  </si>
  <si>
    <t>پروسه ي  اصلاح سيستم ها - ايزو 50001</t>
  </si>
  <si>
    <t xml:space="preserve">اسكوپ كلي  ترميم تجهيزات قديمي </t>
  </si>
  <si>
    <t>تاريخ رفع مغايرت</t>
  </si>
  <si>
    <t>1404/04/03</t>
  </si>
  <si>
    <t>1404/06/10</t>
  </si>
  <si>
    <t>1404/06/11</t>
  </si>
  <si>
    <t>1404/10/04</t>
  </si>
  <si>
    <t>1405/05/01</t>
  </si>
  <si>
    <t>تكرار پيگيري</t>
  </si>
  <si>
    <t xml:space="preserve">آخرين 
تاريخ پيگري </t>
  </si>
  <si>
    <t>1405/04/03</t>
  </si>
  <si>
    <t>1405/02/03</t>
  </si>
  <si>
    <t>1405/05/03</t>
  </si>
  <si>
    <t xml:space="preserve">تاريخ انجام
 مميزي </t>
  </si>
  <si>
    <t>اطلاعات  مغايرت ها</t>
  </si>
  <si>
    <t>مهلت 
رفع  
(روز)</t>
  </si>
  <si>
    <t>1405/05/25</t>
  </si>
  <si>
    <t xml:space="preserve">وجود مهتابي نيم سوخته ، كابين آستر جديد </t>
  </si>
  <si>
    <t xml:space="preserve">در دستور كار براي تعويض </t>
  </si>
  <si>
    <t>1405/06/14</t>
  </si>
  <si>
    <t>كد 
مميزي</t>
  </si>
  <si>
    <t>PIA</t>
  </si>
  <si>
    <t>UIA</t>
  </si>
  <si>
    <t>UATS</t>
  </si>
  <si>
    <t>PATS</t>
  </si>
  <si>
    <t>SATS</t>
  </si>
  <si>
    <t>چك ليست  مميزي هفتگي داخلي</t>
  </si>
  <si>
    <t>IAWC</t>
  </si>
  <si>
    <t>1405/02/05</t>
  </si>
  <si>
    <t>نامحسوس- خدمات فني</t>
  </si>
  <si>
    <t>تاريخ رفع 
مغايرت</t>
  </si>
  <si>
    <t>افزايش
 يا كاهش
 مصرف 
%</t>
  </si>
  <si>
    <t>در حال
 پیگیری</t>
  </si>
  <si>
    <t>زمان بررسی نمودار</t>
  </si>
  <si>
    <t>مصرف استاندارد</t>
  </si>
  <si>
    <t>نمودار مصرف برق - در طول ماه</t>
  </si>
  <si>
    <t>روز ماه</t>
  </si>
  <si>
    <t>توان مصرفي روزانه  ( KW)</t>
  </si>
  <si>
    <t>حد بالا
KW</t>
  </si>
  <si>
    <t xml:space="preserve">هفته 1 </t>
  </si>
  <si>
    <t>هفته2</t>
  </si>
  <si>
    <t>حد پایین
KW</t>
  </si>
  <si>
    <t xml:space="preserve">هفته 3 </t>
  </si>
  <si>
    <t xml:space="preserve"> روز تعطیل
PM-KW</t>
  </si>
  <si>
    <t>زمان خاموشی
 تجهیزات KW</t>
  </si>
  <si>
    <t>هفته 5</t>
  </si>
  <si>
    <t xml:space="preserve">هفته 4 </t>
  </si>
  <si>
    <t>مغايرت 
دارد/ ندارد</t>
  </si>
  <si>
    <t>مقادیر مصارف</t>
  </si>
  <si>
    <t>Ave.</t>
  </si>
  <si>
    <t>Open</t>
  </si>
  <si>
    <t>Low</t>
  </si>
  <si>
    <t>High</t>
  </si>
  <si>
    <t>Closed</t>
  </si>
  <si>
    <t>نرمال نبودن خروجي اگزاست 2 عدد ايرموتور دي اسلج كابين استر</t>
  </si>
  <si>
    <t>وجود 6 عدد پنل LED با توان 72 وات (پنل مربعي)</t>
  </si>
  <si>
    <t>نشتي هواي فشرده از تابلو هندگان سمز در ضلع شمالي خط استر</t>
  </si>
  <si>
    <t xml:space="preserve">ريزش شديد آب از سيل پمپ هاي چيلر </t>
  </si>
  <si>
    <t>1405/06/10</t>
  </si>
  <si>
    <t>1405/06/15</t>
  </si>
  <si>
    <t>1405/06/20</t>
  </si>
  <si>
    <t>1405/06/05</t>
  </si>
  <si>
    <t xml:space="preserve">ارسال  كاتالوگ براي بررسي كارشناسي موضوع محل اختلاف </t>
  </si>
  <si>
    <t xml:space="preserve"> شش عدد پنل هاي اضافي جمع اوري گرديد </t>
  </si>
  <si>
    <t>موضوع مرتفع گرديد .</t>
  </si>
  <si>
    <t>احتراما مغايرت فوق با فعاليت اچاركشي عينكي پمپ</t>
  </si>
  <si>
    <t xml:space="preserve">موضوع مورد تاييد سالن رنگ 1نيست . </t>
  </si>
  <si>
    <t xml:space="preserve">بررسي موارد مشابه با لوكس  غير مورد نياز </t>
  </si>
  <si>
    <t xml:space="preserve">تاكيد بر انجان چك ليست هاي هفتگي </t>
  </si>
  <si>
    <t xml:space="preserve">تاكيد بر انجام چك ليست هاي هفتگي </t>
  </si>
  <si>
    <t>تعداد نفرات</t>
  </si>
  <si>
    <t>خدمات</t>
  </si>
  <si>
    <t>نت</t>
  </si>
  <si>
    <t>تولید</t>
  </si>
  <si>
    <t>تعداد نفرات سالن</t>
  </si>
  <si>
    <t>پشتیبانی تولید</t>
  </si>
  <si>
    <t>مرتضی زمانی</t>
  </si>
  <si>
    <t>محمد روستايی</t>
  </si>
  <si>
    <t>سال تولید</t>
  </si>
  <si>
    <t>شماره پرسنلی</t>
  </si>
  <si>
    <t>نام اعضا</t>
  </si>
  <si>
    <t>آمار روزهای ماه</t>
  </si>
  <si>
    <t>آمار تولید سال بدنه در مدیریت رنگ</t>
  </si>
  <si>
    <t>MinW1</t>
  </si>
  <si>
    <t>MaxW1</t>
  </si>
  <si>
    <t>MinW2</t>
  </si>
  <si>
    <t>MaxW2</t>
  </si>
  <si>
    <t>MinW3</t>
  </si>
  <si>
    <t>MaxW3</t>
  </si>
  <si>
    <t>MinW4</t>
  </si>
  <si>
    <t>MaxW4</t>
  </si>
  <si>
    <t>MinW5</t>
  </si>
  <si>
    <t>MaxW5</t>
  </si>
  <si>
    <t xml:space="preserve">موارد ارجاع شده وبند هاي صورت جلسه هاي پيشين و آخرین وضعیت پيگيري </t>
  </si>
  <si>
    <t>هفته</t>
  </si>
  <si>
    <t>شماره 
هفته</t>
  </si>
  <si>
    <t xml:space="preserve">شرح  دلايل مغايرت هاي احتمالي </t>
  </si>
  <si>
    <t>اصلاح اطلاعات تجهيزات در sap در راستاي مميزي هاي iso 50001 (ثبت اولويت هاي تعين شده تا پايان خرداد ماه)</t>
  </si>
  <si>
    <t>سطح جلسه</t>
  </si>
  <si>
    <t>پايلوت بخش</t>
  </si>
  <si>
    <t>پايلوت نت پشتياني</t>
  </si>
  <si>
    <t xml:space="preserve">اداره نت </t>
  </si>
  <si>
    <t>مشترك نت با بهينه سازي</t>
  </si>
  <si>
    <t>ارجاعات اداره 
بهينه سازي انرژي</t>
  </si>
  <si>
    <t>اطلاعات جلسات و ارجاعات</t>
  </si>
  <si>
    <t>وضعیت پيگيريها</t>
  </si>
  <si>
    <t>اجراي سناريوي باز و بسته كردن شيرهاي هواي فشرده سالن هاي رنگ و  رنگ3 و رنگ1</t>
  </si>
  <si>
    <t>ارسال فرم منشور پروژه هاي بهبود سال 1405</t>
  </si>
  <si>
    <t>تكميل و ارسال فرم بانك اطلاعات آب (به دليل عدم انجام تاريخ مجدد ثبت شد)</t>
  </si>
  <si>
    <t>1405/06/04</t>
  </si>
  <si>
    <t>1405/04/06</t>
  </si>
  <si>
    <t>تاریخ  ارجاع</t>
  </si>
  <si>
    <t>تعداد
 تكرار</t>
  </si>
  <si>
    <t>آخرين
 تاريخ پيگري</t>
  </si>
  <si>
    <t>ملاحظات</t>
  </si>
  <si>
    <t>1405/04/11</t>
  </si>
  <si>
    <t>تاريخ  مهلت
 رفع مغايرت</t>
  </si>
  <si>
    <t>1405/05/11</t>
  </si>
  <si>
    <t>1405/02/13</t>
  </si>
  <si>
    <t>1405/01/26</t>
  </si>
  <si>
    <t>1405/01/24</t>
  </si>
  <si>
    <t>1405/03/05</t>
  </si>
  <si>
    <t>1405/02/16</t>
  </si>
  <si>
    <t>1405/02/10</t>
  </si>
  <si>
    <t>1405/03/02</t>
  </si>
  <si>
    <t>كليه  حامل ها</t>
  </si>
  <si>
    <t>در راستاي اجراي صحيح ايتم 2 مقرر شد جلسه توجيهي توسط نمايندگان انرژي با سر گروه هاي بخش ها برگزار شود</t>
  </si>
  <si>
    <t>هواي فشره</t>
  </si>
  <si>
    <t>1405/01/28</t>
  </si>
  <si>
    <t>1405/02/29</t>
  </si>
  <si>
    <t>1405/04/05</t>
  </si>
  <si>
    <t>باهماهنگي واحد هواي فشرده در روز تعطيل</t>
  </si>
  <si>
    <t>فرمت هاي جديد 1405 دريافت شود .</t>
  </si>
  <si>
    <t xml:space="preserve">Mocr85369 </t>
  </si>
  <si>
    <t>تعداد توليد بدنه ماه در سالن - تعداد روزهاي كاري ماه</t>
  </si>
  <si>
    <t>نوع فعاليت</t>
  </si>
  <si>
    <t>پايلوت نظافت</t>
  </si>
  <si>
    <t>حسن حسن آبادي</t>
  </si>
  <si>
    <t xml:space="preserve"> علي علي اكبر</t>
  </si>
  <si>
    <t>حسين آور زماني</t>
  </si>
  <si>
    <t>رحيم توكليان</t>
  </si>
  <si>
    <t xml:space="preserve">افشين نوروزي </t>
  </si>
  <si>
    <t xml:space="preserve">مهدي خسروي </t>
  </si>
  <si>
    <t>محمد كاظمي</t>
  </si>
  <si>
    <t>صداالدين عبدزاده</t>
  </si>
  <si>
    <t>سرگروه  شيفت A</t>
  </si>
  <si>
    <t>سرگروه  شيفت B</t>
  </si>
  <si>
    <t>سرگروه  شيفتC</t>
  </si>
  <si>
    <t>نت رنگ 1</t>
  </si>
  <si>
    <t>كارشناس پايلوت برق خطوط انتقال</t>
  </si>
  <si>
    <t>سرگروه برق جنرال و روشنايي</t>
  </si>
  <si>
    <t>محمد صالحي آلاشتي</t>
  </si>
  <si>
    <t>طيب ميلادي</t>
  </si>
  <si>
    <t xml:space="preserve">مصطفي پورقلي </t>
  </si>
  <si>
    <t>كارشناس پايلوت  هواي فشرده و سيركولاسيون</t>
  </si>
  <si>
    <t>سرگروه بويلر خانه</t>
  </si>
  <si>
    <t>نت رنگ 2</t>
  </si>
  <si>
    <t>شماره نامه مرتبط</t>
  </si>
  <si>
    <t>سرگروه پايلوت مكانيك  هواساز</t>
  </si>
  <si>
    <t xml:space="preserve">سرگروه پايلوت كوره  </t>
  </si>
  <si>
    <t>كارشناس پايلوت مكانيك خطوط انتقال</t>
  </si>
  <si>
    <t>احمد صبوري</t>
  </si>
  <si>
    <t>موارد ارجاع شده وبند هاي صورت جلسه ها</t>
  </si>
  <si>
    <t>شماره همراه</t>
  </si>
  <si>
    <t>تلفن قسمت</t>
  </si>
  <si>
    <t>پايلوت بخش اداره</t>
  </si>
  <si>
    <t>EIMS Pass.</t>
  </si>
  <si>
    <t>EIMSMaster@2026</t>
  </si>
  <si>
    <t>EIMS 
User Name Login</t>
  </si>
  <si>
    <t>EIMS
Role code</t>
  </si>
  <si>
    <t>Access 
Level</t>
  </si>
  <si>
    <t>Status:
Active/deactive</t>
  </si>
  <si>
    <t>Active</t>
  </si>
  <si>
    <t>Deactive</t>
  </si>
  <si>
    <t>واحد:</t>
  </si>
  <si>
    <t>مهندسي</t>
  </si>
  <si>
    <t>كيفيت</t>
  </si>
  <si>
    <t>ساير</t>
  </si>
  <si>
    <t>جمع</t>
  </si>
  <si>
    <t xml:space="preserve">اطلاعات سيستمي </t>
  </si>
  <si>
    <t xml:space="preserve"> تعداد 1 روز پنجشنبه ارديبهشت ماه سالن به صورت 3 شيفت فعال بوده است.</t>
  </si>
  <si>
    <t>توضیحات تکمیلی:</t>
  </si>
  <si>
    <t>تعداد بدنه توليدي</t>
  </si>
  <si>
    <t>روز تعطیل بدون توليد</t>
  </si>
  <si>
    <t xml:space="preserve"> تعداد شيفت هاي كاري دريك ماه</t>
  </si>
  <si>
    <t>مقايسه تغييرات</t>
  </si>
  <si>
    <t>تعداد
 روز ماه</t>
  </si>
  <si>
    <t>تعداد روزهاي توليدي</t>
  </si>
  <si>
    <t>هزينه كل انرژي
(ريال)</t>
  </si>
  <si>
    <t xml:space="preserve">هزينه سرانه انرژي </t>
  </si>
  <si>
    <t>درصد تغيير نرخ توليد ماه جاري</t>
  </si>
  <si>
    <t>مقايسه ماه جاري</t>
  </si>
  <si>
    <t>با ماه قبل</t>
  </si>
  <si>
    <t xml:space="preserve"> باماه جاري</t>
  </si>
  <si>
    <t>با ماه مشابه سال قبل</t>
  </si>
  <si>
    <t>سرانه کل
 (بدنه/ ريال)</t>
  </si>
  <si>
    <t>اطلاعات عمومي 1</t>
  </si>
  <si>
    <t>اطلاعات عمومي 2</t>
  </si>
  <si>
    <t>اطلاعات عمومي3</t>
  </si>
  <si>
    <t>اطلاعات عمومي4</t>
  </si>
  <si>
    <t>هنوز فاقد كنتور و ارقام مقايسه اي  قبلي لحاظ مي شود.</t>
  </si>
  <si>
    <t>فرم  رو ميزي بررسي اطلاعات مصرف انرژي  ( جلسات ماهيانه پايلوت اداره نت )</t>
  </si>
  <si>
    <t>Role Identity:    اطلاعات پايلوت هاي مرتبط با انرژي - Login-Role- دسترسي - كلمه گذر…</t>
  </si>
  <si>
    <t>مصادف با جنگ 39 روزه  و تعطیلات اضافه تر</t>
  </si>
  <si>
    <t>روزهای قرادي کاری  تولیدی</t>
  </si>
  <si>
    <t>تعداد روزعادی
تولیدی</t>
  </si>
  <si>
    <t>درصد تغيير  نرخ فرصت توليد  ماه جاري- نرمالایز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</si>
</sst>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3">
    <font>
      <sz val="11"/>
      <color theme="1"/>
      <name val="Calibri"/>
      <family val="2"/>
      <scheme val="minor"/>
    </font>
    <font>
      <b/>
      <sz val="20"/>
      <color theme="1"/>
      <name val="Calibri"/>
      <family val="2"/>
      <scheme val="minor"/>
    </font>
    <font>
      <b/>
      <sz val="16"/>
      <color theme="1"/>
      <name val="Calibri"/>
      <family val="2"/>
      <scheme val="minor"/>
    </font>
    <font>
      <sz val="14"/>
      <color theme="1"/>
      <name val="Calibri"/>
      <family val="2"/>
      <scheme val="minor"/>
    </font>
    <font>
      <sz val="16"/>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b/>
      <sz val="20"/>
      <color theme="1"/>
      <name val="Tahoma"/>
      <family val="2"/>
    </font>
    <font>
      <sz val="10"/>
      <name val="Tahoma"/>
      <family val="2"/>
    </font>
    <font>
      <sz val="12"/>
      <color indexed="8"/>
      <name val="Tahoma"/>
      <family val="2"/>
    </font>
    <font>
      <sz val="9"/>
      <color indexed="8"/>
      <name val="Tahoma"/>
      <family val="2"/>
    </font>
    <font>
      <sz val="14"/>
      <color indexed="8"/>
      <name val="Tahoma"/>
      <family val="2"/>
    </font>
    <font>
      <sz val="10"/>
      <color indexed="8"/>
      <name val="Tahoma"/>
      <family val="2"/>
    </font>
    <font>
      <sz val="11"/>
      <color indexed="8"/>
      <name val="Tahoma"/>
      <family val="2"/>
    </font>
    <font>
      <b/>
      <sz val="12"/>
      <color theme="1"/>
      <name val="B Nazanin"/>
      <charset val="178"/>
    </font>
    <font>
      <sz val="9"/>
      <name val="Tahoma"/>
      <family val="2"/>
    </font>
    <font>
      <sz val="18"/>
      <name val="Calibri"/>
      <family val="2"/>
      <scheme val="minor"/>
    </font>
    <font>
      <sz val="8"/>
      <color theme="1"/>
      <name val="Tahoma"/>
      <family val="2"/>
    </font>
    <font>
      <sz val="18"/>
      <color theme="1"/>
      <name val="B Nazanin"/>
      <charset val="178"/>
    </font>
    <font>
      <sz val="14"/>
      <color theme="1"/>
      <name val="B Nazanin"/>
      <charset val="178"/>
    </font>
    <font>
      <sz val="8"/>
      <color indexed="8"/>
      <name val="Tahoma"/>
      <family val="2"/>
    </font>
    <font>
      <sz val="16"/>
      <color theme="1"/>
      <name val="B Nazanin"/>
      <charset val="178"/>
    </font>
    <font>
      <sz val="6"/>
      <color indexed="8"/>
      <name val="Tahoma"/>
      <family val="2"/>
    </font>
    <font>
      <sz val="10"/>
      <color theme="1"/>
      <name val="Tahoma"/>
      <family val="2"/>
    </font>
    <font>
      <sz val="12"/>
      <name val="Calibri"/>
      <family val="2"/>
      <scheme val="minor"/>
    </font>
    <font>
      <sz val="20"/>
      <color theme="1"/>
      <name val="B Koodak"/>
      <charset val="178"/>
    </font>
    <font>
      <b/>
      <sz val="16"/>
      <color theme="1"/>
      <name val="B Koodak"/>
      <charset val="178"/>
    </font>
    <font>
      <b/>
      <sz val="14"/>
      <color theme="1"/>
      <name val="B Koodak"/>
      <charset val="178"/>
    </font>
    <font>
      <b/>
      <sz val="22"/>
      <color theme="1"/>
      <name val="B Koodak"/>
      <charset val="178"/>
    </font>
    <font>
      <b/>
      <sz val="12"/>
      <color theme="1"/>
      <name val="Calibri"/>
      <family val="2"/>
      <scheme val="minor"/>
    </font>
    <font>
      <sz val="18"/>
      <color theme="1"/>
      <name val="B Koodak"/>
      <charset val="178"/>
    </font>
    <font>
      <sz val="12"/>
      <color theme="1"/>
      <name val="Calibri"/>
      <family val="2"/>
      <charset val="178"/>
      <scheme val="minor"/>
    </font>
    <font>
      <sz val="14"/>
      <color theme="1"/>
      <name val="Calibri"/>
      <family val="2"/>
      <charset val="178"/>
      <scheme val="minor"/>
    </font>
    <font>
      <sz val="16"/>
      <color theme="1"/>
      <name val="Calibri"/>
      <family val="2"/>
      <charset val="178"/>
      <scheme val="minor"/>
    </font>
    <font>
      <sz val="24"/>
      <color theme="1"/>
      <name val="B Nazanin"/>
      <charset val="178"/>
    </font>
    <font>
      <b/>
      <sz val="9"/>
      <color theme="1"/>
      <name val="Calibri"/>
      <family val="2"/>
      <scheme val="minor"/>
    </font>
    <font>
      <sz val="13"/>
      <name val="B Koodak"/>
      <charset val="178"/>
    </font>
    <font>
      <sz val="14"/>
      <name val="B Nazanin"/>
      <charset val="178"/>
    </font>
    <font>
      <sz val="16"/>
      <name val="B Nazanin"/>
      <charset val="178"/>
    </font>
    <font>
      <sz val="13"/>
      <color theme="1"/>
      <name val="B Koodak"/>
      <charset val="178"/>
    </font>
    <font>
      <b/>
      <sz val="10"/>
      <color theme="1"/>
      <name val="Calibri"/>
      <family val="2"/>
      <scheme val="minor"/>
    </font>
    <font>
      <b/>
      <sz val="11"/>
      <color indexed="8"/>
      <name val="B Nazanin"/>
      <charset val="178"/>
    </font>
    <font>
      <sz val="11"/>
      <color theme="1"/>
      <name val="B Koodak"/>
      <charset val="178"/>
    </font>
    <font>
      <sz val="11"/>
      <name val="B Koodak"/>
      <charset val="178"/>
    </font>
    <font>
      <sz val="8"/>
      <color theme="1"/>
      <name val="B Koodak"/>
      <charset val="178"/>
    </font>
    <font>
      <sz val="18"/>
      <name val="B Koodak"/>
      <charset val="178"/>
    </font>
    <font>
      <sz val="7"/>
      <color indexed="8"/>
      <name val="Tahoma"/>
      <family val="2"/>
    </font>
    <font>
      <sz val="9"/>
      <name val="B Koodak"/>
      <charset val="178"/>
    </font>
    <font>
      <sz val="9"/>
      <color theme="1"/>
      <name val="Calibri"/>
      <family val="2"/>
      <scheme val="minor"/>
    </font>
    <font>
      <sz val="12"/>
      <color theme="1"/>
      <name val="B Nazanin"/>
      <charset val="178"/>
    </font>
    <font>
      <b/>
      <sz val="24"/>
      <color theme="1"/>
      <name val="B Koodak"/>
      <charset val="178"/>
    </font>
    <font>
      <b/>
      <sz val="26"/>
      <color theme="1"/>
      <name val="B Koodak"/>
      <charset val="178"/>
    </font>
    <font>
      <sz val="12"/>
      <color theme="1"/>
      <name val="B Koodak"/>
      <charset val="178"/>
    </font>
    <font>
      <b/>
      <sz val="28"/>
      <color theme="1"/>
      <name val="B Koodak"/>
      <charset val="178"/>
    </font>
    <font>
      <sz val="22"/>
      <color theme="1"/>
      <name val="B Koodak"/>
      <charset val="178"/>
    </font>
    <font>
      <b/>
      <sz val="16"/>
      <color theme="1"/>
      <name val="B Nazanin"/>
      <charset val="178"/>
    </font>
    <font>
      <sz val="16"/>
      <color theme="1"/>
      <name val="B Koodak"/>
      <charset val="178"/>
    </font>
    <font>
      <sz val="14"/>
      <color theme="1"/>
      <name val="B Koodak"/>
      <charset val="178"/>
    </font>
    <font>
      <sz val="14"/>
      <name val="B Koodak"/>
      <charset val="178"/>
    </font>
    <font>
      <sz val="8"/>
      <name val="Calibri"/>
      <family val="2"/>
      <scheme val="minor"/>
    </font>
    <font>
      <b/>
      <sz val="12"/>
      <color theme="1"/>
      <name val="B Koodak"/>
      <charset val="178"/>
    </font>
    <font>
      <sz val="9"/>
      <color theme="1"/>
      <name val="B Koodak"/>
      <charset val="178"/>
    </font>
    <font>
      <sz val="16"/>
      <color theme="1"/>
      <name val="Koodak Mazar"/>
      <charset val="178"/>
    </font>
    <font>
      <sz val="9"/>
      <color indexed="81"/>
      <name val="Tahoma"/>
      <family val="2"/>
    </font>
    <font>
      <b/>
      <sz val="9"/>
      <color indexed="81"/>
      <name val="Tahoma"/>
      <family val="2"/>
    </font>
    <font>
      <sz val="12"/>
      <name val="B Koodak"/>
      <charset val="178"/>
    </font>
    <font>
      <sz val="10"/>
      <color theme="1"/>
      <name val="B Koodak"/>
      <charset val="178"/>
    </font>
    <font>
      <sz val="10"/>
      <color theme="1"/>
      <name val="Calibri"/>
      <family val="2"/>
      <scheme val="minor"/>
    </font>
    <font>
      <sz val="7"/>
      <color theme="1"/>
      <name val="B Koodak"/>
      <charset val="178"/>
    </font>
    <font>
      <sz val="18"/>
      <color theme="1"/>
      <name val="Calibri"/>
      <family val="2"/>
      <scheme val="minor"/>
    </font>
    <font>
      <sz val="9"/>
      <name val="B Nazanin"/>
      <charset val="178"/>
    </font>
    <font>
      <sz val="18"/>
      <color theme="1"/>
      <name val="Calibri"/>
      <family val="2"/>
      <charset val="178"/>
      <scheme val="minor"/>
    </font>
    <font>
      <sz val="8"/>
      <color theme="1"/>
      <name val="Calibri"/>
      <family val="2"/>
      <charset val="178"/>
      <scheme val="minor"/>
    </font>
    <font>
      <sz val="11"/>
      <color theme="1"/>
      <name val="Calibri"/>
      <family val="2"/>
      <charset val="178"/>
      <scheme val="minor"/>
    </font>
    <font>
      <sz val="10"/>
      <color theme="1"/>
      <name val="Calibri"/>
      <family val="2"/>
      <charset val="178"/>
      <scheme val="minor"/>
    </font>
    <font>
      <sz val="11"/>
      <color rgb="FFFF0000"/>
      <name val="B Koodak"/>
      <charset val="178"/>
    </font>
    <font>
      <sz val="11"/>
      <name val="ＭＳ Ｐゴシック"/>
      <charset val="128"/>
    </font>
    <font>
      <sz val="9"/>
      <color theme="1"/>
      <name val="Calibri"/>
      <family val="2"/>
      <charset val="178"/>
      <scheme val="minor"/>
    </font>
    <font>
      <b/>
      <sz val="18"/>
      <color theme="1"/>
      <name val="B Koodak"/>
      <charset val="178"/>
    </font>
    <font>
      <b/>
      <sz val="10"/>
      <color theme="1"/>
      <name val="Nazanin"/>
    </font>
    <font>
      <b/>
      <sz val="14"/>
      <color theme="1"/>
      <name val="Calibri"/>
      <family val="2"/>
      <scheme val="minor"/>
    </font>
    <font>
      <sz val="12"/>
      <color theme="1"/>
      <name val="Calibri"/>
      <family val="2"/>
      <scheme val="minor"/>
    </font>
    <font>
      <b/>
      <sz val="8"/>
      <color theme="1"/>
      <name val="B Koodak"/>
      <charset val="178"/>
    </font>
    <font>
      <sz val="11"/>
      <color theme="1"/>
      <name val="B Nazanin"/>
      <charset val="178"/>
    </font>
    <font>
      <sz val="11"/>
      <name val="B Nazanin"/>
      <charset val="178"/>
    </font>
    <font>
      <b/>
      <sz val="9"/>
      <color theme="1"/>
      <name val="B Koodak"/>
      <charset val="178"/>
    </font>
    <font>
      <u/>
      <sz val="11"/>
      <color theme="10"/>
      <name val="Calibri"/>
      <family val="2"/>
      <scheme val="minor"/>
    </font>
    <font>
      <b/>
      <sz val="20"/>
      <color theme="1"/>
      <name val="B Koodak"/>
      <charset val="178"/>
    </font>
    <font>
      <sz val="10"/>
      <color rgb="FFFF0000"/>
      <name val="Calibri"/>
      <family val="2"/>
      <scheme val="minor"/>
    </font>
    <font>
      <sz val="20"/>
      <color theme="1"/>
      <name val="Calibri"/>
      <family val="2"/>
      <charset val="178"/>
      <scheme val="minor"/>
    </font>
    <font>
      <b/>
      <sz val="18"/>
      <color theme="1"/>
      <name val="Calibri"/>
      <family val="2"/>
      <scheme val="minor"/>
    </font>
  </fonts>
  <fills count="3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rgb="FFCCFF99"/>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FFCC"/>
        <bgColor indexed="64"/>
      </patternFill>
    </fill>
    <fill>
      <patternFill patternType="solid">
        <fgColor rgb="FFFFFFFF"/>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B7F3FB"/>
        <bgColor indexed="64"/>
      </patternFill>
    </fill>
    <fill>
      <patternFill patternType="solid">
        <fgColor rgb="FF97BBF1"/>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CCFFCC"/>
        <bgColor indexed="64"/>
      </patternFill>
    </fill>
    <fill>
      <patternFill patternType="solid">
        <fgColor rgb="FF66FFFF"/>
        <bgColor indexed="64"/>
      </patternFill>
    </fill>
    <fill>
      <patternFill patternType="solid">
        <fgColor theme="1"/>
        <bgColor indexed="64"/>
      </patternFill>
    </fill>
    <fill>
      <patternFill patternType="solid">
        <fgColor rgb="FFCCFFFF"/>
        <bgColor indexed="64"/>
      </patternFill>
    </fill>
    <fill>
      <patternFill patternType="solid">
        <fgColor rgb="FFFFC0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59999389629810485"/>
        <bgColor indexed="64"/>
      </patternFill>
    </fill>
  </fills>
  <borders count="8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medium">
        <color auto="1"/>
      </right>
      <top style="thin">
        <color auto="1"/>
      </top>
      <bottom/>
      <diagonal/>
    </border>
    <border>
      <left style="medium">
        <color indexed="64"/>
      </left>
      <right style="thin">
        <color auto="1"/>
      </right>
      <top style="thin">
        <color auto="1"/>
      </top>
      <bottom style="thin">
        <color auto="1"/>
      </bottom>
      <diagonal/>
    </border>
    <border>
      <left style="thin">
        <color auto="1"/>
      </left>
      <right style="medium">
        <color auto="1"/>
      </right>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indexed="64"/>
      </right>
      <top style="medium">
        <color auto="1"/>
      </top>
      <bottom/>
      <diagonal/>
    </border>
    <border>
      <left style="thin">
        <color indexed="64"/>
      </left>
      <right style="thin">
        <color indexed="64"/>
      </right>
      <top style="medium">
        <color auto="1"/>
      </top>
      <bottom/>
      <diagonal/>
    </border>
    <border>
      <left style="medium">
        <color auto="1"/>
      </left>
      <right style="thin">
        <color indexed="64"/>
      </right>
      <top/>
      <bottom/>
      <diagonal/>
    </border>
    <border>
      <left style="medium">
        <color auto="1"/>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auto="1"/>
      </bottom>
      <diagonal/>
    </border>
    <border>
      <left style="thin">
        <color auto="1"/>
      </left>
      <right style="medium">
        <color auto="1"/>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ck">
        <color indexed="64"/>
      </right>
      <top style="medium">
        <color auto="1"/>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ck">
        <color indexed="64"/>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n">
        <color auto="1"/>
      </right>
      <top style="thick">
        <color auto="1"/>
      </top>
      <bottom style="thin">
        <color auto="1"/>
      </bottom>
      <diagonal/>
    </border>
    <border>
      <left style="thin">
        <color auto="1"/>
      </left>
      <right/>
      <top style="thick">
        <color auto="1"/>
      </top>
      <bottom style="thin">
        <color auto="1"/>
      </bottom>
      <diagonal/>
    </border>
    <border>
      <left/>
      <right style="thick">
        <color auto="1"/>
      </right>
      <top style="thick">
        <color auto="1"/>
      </top>
      <bottom style="thin">
        <color auto="1"/>
      </bottom>
      <diagonal/>
    </border>
    <border>
      <left/>
      <right/>
      <top style="thin">
        <color auto="1"/>
      </top>
      <bottom style="thick">
        <color auto="1"/>
      </bottom>
      <diagonal/>
    </border>
    <border>
      <left style="thin">
        <color indexed="64"/>
      </left>
      <right/>
      <top style="thin">
        <color auto="1"/>
      </top>
      <bottom style="thick">
        <color auto="1"/>
      </bottom>
      <diagonal/>
    </border>
    <border>
      <left/>
      <right style="thick">
        <color auto="1"/>
      </right>
      <top style="thin">
        <color auto="1"/>
      </top>
      <bottom style="thick">
        <color auto="1"/>
      </bottom>
      <diagonal/>
    </border>
    <border>
      <left style="thick">
        <color indexed="64"/>
      </left>
      <right style="thin">
        <color auto="1"/>
      </right>
      <top style="medium">
        <color auto="1"/>
      </top>
      <bottom style="thin">
        <color auto="1"/>
      </bottom>
      <diagonal/>
    </border>
    <border>
      <left style="thick">
        <color indexed="64"/>
      </left>
      <right/>
      <top/>
      <bottom style="thick">
        <color indexed="64"/>
      </bottom>
      <diagonal/>
    </border>
    <border>
      <left/>
      <right/>
      <top/>
      <bottom style="thick">
        <color indexed="64"/>
      </bottom>
      <diagonal/>
    </border>
    <border>
      <left style="thin">
        <color indexed="64"/>
      </left>
      <right/>
      <top/>
      <bottom style="thick">
        <color indexed="64"/>
      </bottom>
      <diagonal/>
    </border>
    <border>
      <left/>
      <right style="thick">
        <color indexed="64"/>
      </right>
      <top/>
      <bottom style="thick">
        <color indexed="64"/>
      </bottom>
      <diagonal/>
    </border>
    <border>
      <left/>
      <right/>
      <top style="thin">
        <color auto="1"/>
      </top>
      <bottom style="thin">
        <color auto="1"/>
      </bottom>
      <diagonal/>
    </border>
    <border>
      <left/>
      <right/>
      <top style="thin">
        <color auto="1"/>
      </top>
      <bottom/>
      <diagonal/>
    </border>
    <border>
      <left/>
      <right/>
      <top/>
      <bottom style="thin">
        <color indexed="64"/>
      </bottom>
      <diagonal/>
    </border>
    <border>
      <left/>
      <right/>
      <top style="medium">
        <color auto="1"/>
      </top>
      <bottom style="thin">
        <color indexed="64"/>
      </bottom>
      <diagonal/>
    </border>
    <border>
      <left style="medium">
        <color auto="1"/>
      </left>
      <right style="thin">
        <color auto="1"/>
      </right>
      <top style="thin">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top style="thin">
        <color indexed="64"/>
      </top>
      <bottom style="medium">
        <color auto="1"/>
      </bottom>
      <diagonal/>
    </border>
    <border>
      <left/>
      <right style="thick">
        <color auto="1"/>
      </right>
      <top/>
      <bottom/>
      <diagonal/>
    </border>
    <border>
      <left style="thick">
        <color auto="1"/>
      </left>
      <right/>
      <top style="thin">
        <color auto="1"/>
      </top>
      <bottom/>
      <diagonal/>
    </border>
    <border>
      <left style="thick">
        <color auto="1"/>
      </left>
      <right/>
      <top/>
      <bottom/>
      <diagonal/>
    </border>
    <border>
      <left/>
      <right style="thick">
        <color auto="1"/>
      </right>
      <top style="thin">
        <color indexed="64"/>
      </top>
      <bottom style="thin">
        <color indexed="64"/>
      </bottom>
      <diagonal/>
    </border>
    <border>
      <left style="thin">
        <color auto="1"/>
      </left>
      <right style="thin">
        <color auto="1"/>
      </right>
      <top style="thin">
        <color auto="1"/>
      </top>
      <bottom style="thick">
        <color auto="1"/>
      </bottom>
      <diagonal/>
    </border>
    <border>
      <left style="thick">
        <color indexed="64"/>
      </left>
      <right style="thin">
        <color indexed="64"/>
      </right>
      <top style="thin">
        <color indexed="64"/>
      </top>
      <bottom style="medium">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style="thick">
        <color indexed="64"/>
      </right>
      <top style="thin">
        <color indexed="64"/>
      </top>
      <bottom/>
      <diagonal/>
    </border>
    <border>
      <left/>
      <right style="thick">
        <color indexed="64"/>
      </right>
      <top style="thin">
        <color indexed="64"/>
      </top>
      <bottom/>
      <diagonal/>
    </border>
    <border>
      <left/>
      <right style="thick">
        <color indexed="64"/>
      </right>
      <top/>
      <bottom style="thin">
        <color indexed="64"/>
      </bottom>
      <diagonal/>
    </border>
    <border>
      <left style="thick">
        <color auto="1"/>
      </left>
      <right/>
      <top style="thin">
        <color auto="1"/>
      </top>
      <bottom style="thin">
        <color indexed="64"/>
      </bottom>
      <diagonal/>
    </border>
    <border>
      <left/>
      <right style="thick">
        <color auto="1"/>
      </right>
      <top style="thin">
        <color indexed="64"/>
      </top>
      <bottom style="medium">
        <color auto="1"/>
      </bottom>
      <diagonal/>
    </border>
    <border>
      <left style="thin">
        <color auto="1"/>
      </left>
      <right style="thick">
        <color auto="1"/>
      </right>
      <top style="thin">
        <color auto="1"/>
      </top>
      <bottom style="medium">
        <color auto="1"/>
      </bottom>
      <diagonal/>
    </border>
    <border>
      <left/>
      <right style="thin">
        <color auto="1"/>
      </right>
      <top style="thin">
        <color auto="1"/>
      </top>
      <bottom style="thick">
        <color auto="1"/>
      </bottom>
      <diagonal/>
    </border>
    <border>
      <left style="thick">
        <color indexed="64"/>
      </left>
      <right style="thin">
        <color auto="1"/>
      </right>
      <top style="thin">
        <color auto="1"/>
      </top>
      <bottom/>
      <diagonal/>
    </border>
    <border>
      <left style="thick">
        <color indexed="64"/>
      </left>
      <right style="thin">
        <color auto="1"/>
      </right>
      <top/>
      <bottom/>
      <diagonal/>
    </border>
    <border>
      <left style="thick">
        <color indexed="64"/>
      </left>
      <right style="thin">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right style="medium">
        <color auto="1"/>
      </right>
      <top style="thin">
        <color auto="1"/>
      </top>
      <bottom style="thin">
        <color indexed="64"/>
      </bottom>
      <diagonal/>
    </border>
    <border>
      <left style="thin">
        <color auto="1"/>
      </left>
      <right style="medium">
        <color auto="1"/>
      </right>
      <top style="thin">
        <color auto="1"/>
      </top>
      <bottom style="medium">
        <color indexed="64"/>
      </bottom>
      <diagonal/>
    </border>
    <border>
      <left style="medium">
        <color auto="1"/>
      </left>
      <right/>
      <top style="thin">
        <color auto="1"/>
      </top>
      <bottom style="thin">
        <color auto="1"/>
      </bottom>
      <diagonal/>
    </border>
    <border>
      <left/>
      <right style="medium">
        <color indexed="64"/>
      </right>
      <top/>
      <bottom style="thick">
        <color indexed="64"/>
      </bottom>
      <diagonal/>
    </border>
    <border>
      <left style="medium">
        <color auto="1"/>
      </left>
      <right/>
      <top style="thin">
        <color indexed="64"/>
      </top>
      <bottom style="thick">
        <color indexed="64"/>
      </bottom>
      <diagonal/>
    </border>
  </borders>
  <cellStyleXfs count="8">
    <xf numFmtId="0" fontId="0" fillId="0" borderId="0"/>
    <xf numFmtId="0" fontId="5"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xf numFmtId="0" fontId="10" fillId="0" borderId="0"/>
    <xf numFmtId="0" fontId="10" fillId="0" borderId="0"/>
    <xf numFmtId="0" fontId="78" fillId="0" borderId="0"/>
    <xf numFmtId="0" fontId="88" fillId="0" borderId="0" applyNumberFormat="0" applyFill="0" applyBorder="0" applyAlignment="0" applyProtection="0"/>
  </cellStyleXfs>
  <cellXfs count="676">
    <xf numFmtId="0" fontId="0" fillId="0" borderId="0" xfId="0"/>
    <xf numFmtId="0" fontId="0" fillId="0" borderId="0" xfId="0" applyAlignment="1">
      <alignment vertical="center"/>
    </xf>
    <xf numFmtId="0" fontId="11" fillId="3" borderId="13" xfId="4" applyFont="1" applyFill="1" applyBorder="1" applyAlignment="1">
      <alignment vertical="center" wrapText="1"/>
    </xf>
    <xf numFmtId="0" fontId="12" fillId="3" borderId="14" xfId="4" applyFont="1" applyFill="1" applyBorder="1" applyAlignment="1">
      <alignment horizontal="center" vertical="center" wrapText="1"/>
    </xf>
    <xf numFmtId="0" fontId="13" fillId="3" borderId="14" xfId="4" applyFont="1" applyFill="1" applyBorder="1" applyAlignment="1">
      <alignment vertical="center" wrapText="1"/>
    </xf>
    <xf numFmtId="0" fontId="14" fillId="3" borderId="14" xfId="4" applyFont="1" applyFill="1" applyBorder="1" applyAlignment="1">
      <alignment vertical="center" wrapText="1"/>
    </xf>
    <xf numFmtId="0" fontId="14" fillId="3" borderId="14" xfId="4" applyFont="1" applyFill="1" applyBorder="1" applyAlignment="1">
      <alignment horizontal="center" vertical="center" wrapText="1"/>
    </xf>
    <xf numFmtId="0" fontId="11" fillId="3" borderId="14" xfId="4" applyFont="1" applyFill="1" applyBorder="1" applyAlignment="1">
      <alignment vertical="center" wrapText="1"/>
    </xf>
    <xf numFmtId="0" fontId="15" fillId="3" borderId="14" xfId="4" applyFont="1" applyFill="1" applyBorder="1" applyAlignment="1">
      <alignment vertical="center" wrapText="1"/>
    </xf>
    <xf numFmtId="0" fontId="11" fillId="3" borderId="14" xfId="4" applyFont="1" applyFill="1" applyBorder="1" applyAlignment="1">
      <alignment horizontal="center" vertical="center" wrapText="1"/>
    </xf>
    <xf numFmtId="0" fontId="13" fillId="3" borderId="15" xfId="4" applyFont="1" applyFill="1" applyBorder="1" applyAlignment="1">
      <alignment vertical="center" wrapText="1"/>
    </xf>
    <xf numFmtId="49" fontId="11" fillId="10" borderId="3" xfId="5" applyNumberFormat="1" applyFont="1" applyFill="1" applyBorder="1" applyAlignment="1">
      <alignment horizontal="center" vertical="center" wrapText="1" readingOrder="2"/>
    </xf>
    <xf numFmtId="49" fontId="15" fillId="7" borderId="3" xfId="5" applyNumberFormat="1" applyFont="1" applyFill="1" applyBorder="1" applyAlignment="1">
      <alignment horizontal="center" vertical="center" wrapText="1"/>
    </xf>
    <xf numFmtId="49" fontId="11" fillId="7" borderId="1" xfId="5" applyNumberFormat="1" applyFont="1" applyFill="1" applyBorder="1" applyAlignment="1">
      <alignment vertical="center" wrapText="1"/>
    </xf>
    <xf numFmtId="3" fontId="17" fillId="7" borderId="1" xfId="5" applyNumberFormat="1" applyFont="1" applyFill="1" applyBorder="1" applyAlignment="1">
      <alignment vertical="center" wrapText="1"/>
    </xf>
    <xf numFmtId="49" fontId="15" fillId="7" borderId="1" xfId="5" applyNumberFormat="1" applyFont="1" applyFill="1" applyBorder="1" applyAlignment="1">
      <alignment horizontal="center" vertical="center" wrapText="1"/>
    </xf>
    <xf numFmtId="49" fontId="12" fillId="7" borderId="1" xfId="5" applyNumberFormat="1" applyFont="1" applyFill="1" applyBorder="1" applyAlignment="1">
      <alignment vertical="center" wrapText="1"/>
    </xf>
    <xf numFmtId="49" fontId="11" fillId="10" borderId="12" xfId="5" applyNumberFormat="1" applyFont="1" applyFill="1" applyBorder="1" applyAlignment="1">
      <alignment horizontal="center" vertical="center" wrapText="1" readingOrder="2"/>
    </xf>
    <xf numFmtId="49" fontId="14" fillId="7" borderId="12" xfId="5" applyNumberFormat="1" applyFont="1" applyFill="1" applyBorder="1" applyAlignment="1">
      <alignment horizontal="center" vertical="center" wrapText="1"/>
    </xf>
    <xf numFmtId="49" fontId="15" fillId="7" borderId="3" xfId="5" applyNumberFormat="1" applyFont="1" applyFill="1" applyBorder="1" applyAlignment="1">
      <alignment vertical="center" wrapText="1"/>
    </xf>
    <xf numFmtId="3" fontId="17" fillId="7" borderId="3" xfId="5" applyNumberFormat="1" applyFont="1" applyFill="1" applyBorder="1" applyAlignment="1">
      <alignment vertical="center" wrapText="1"/>
    </xf>
    <xf numFmtId="3" fontId="14" fillId="7" borderId="3" xfId="5" applyNumberFormat="1" applyFont="1" applyFill="1" applyBorder="1" applyAlignment="1">
      <alignment vertical="center" wrapText="1" readingOrder="2"/>
    </xf>
    <xf numFmtId="0" fontId="8" fillId="0" borderId="0" xfId="0" applyFont="1" applyAlignment="1">
      <alignment vertical="center"/>
    </xf>
    <xf numFmtId="49" fontId="15" fillId="7" borderId="1" xfId="5" applyNumberFormat="1" applyFont="1" applyFill="1" applyBorder="1" applyAlignment="1">
      <alignment vertical="center" wrapText="1"/>
    </xf>
    <xf numFmtId="3" fontId="14" fillId="7" borderId="1" xfId="5" applyNumberFormat="1" applyFont="1" applyFill="1" applyBorder="1" applyAlignment="1">
      <alignment vertical="center" wrapText="1" readingOrder="2"/>
    </xf>
    <xf numFmtId="49" fontId="15" fillId="7" borderId="12" xfId="5" applyNumberFormat="1" applyFont="1" applyFill="1" applyBorder="1" applyAlignment="1">
      <alignment vertical="center" wrapText="1"/>
    </xf>
    <xf numFmtId="3" fontId="17" fillId="7" borderId="12" xfId="5" applyNumberFormat="1" applyFont="1" applyFill="1" applyBorder="1" applyAlignment="1">
      <alignment vertical="center" wrapText="1"/>
    </xf>
    <xf numFmtId="3" fontId="14" fillId="7" borderId="12" xfId="5" applyNumberFormat="1" applyFont="1" applyFill="1" applyBorder="1" applyAlignment="1">
      <alignment vertical="center" wrapText="1" readingOrder="2"/>
    </xf>
    <xf numFmtId="49" fontId="12" fillId="7" borderId="12" xfId="5" applyNumberFormat="1" applyFont="1" applyFill="1" applyBorder="1" applyAlignment="1">
      <alignment vertical="center" wrapText="1"/>
    </xf>
    <xf numFmtId="49" fontId="12" fillId="7" borderId="1" xfId="5" applyNumberFormat="1" applyFont="1" applyFill="1" applyBorder="1" applyAlignment="1">
      <alignment horizontal="center" vertical="center" wrapText="1"/>
    </xf>
    <xf numFmtId="49" fontId="48" fillId="7" borderId="1" xfId="5" applyNumberFormat="1" applyFont="1" applyFill="1" applyBorder="1" applyAlignment="1">
      <alignment horizontal="center" vertical="center" wrapText="1"/>
    </xf>
    <xf numFmtId="37" fontId="51" fillId="2" borderId="5" xfId="0" applyNumberFormat="1" applyFont="1" applyFill="1" applyBorder="1" applyAlignment="1">
      <alignment horizontal="left" vertical="center" wrapText="1"/>
    </xf>
    <xf numFmtId="37" fontId="51" fillId="7" borderId="5" xfId="0" applyNumberFormat="1" applyFont="1" applyFill="1" applyBorder="1" applyAlignment="1">
      <alignment horizontal="left" vertical="center" wrapText="1"/>
    </xf>
    <xf numFmtId="0" fontId="38" fillId="7" borderId="33" xfId="0" applyFont="1" applyFill="1" applyBorder="1" applyAlignment="1">
      <alignment horizontal="center" vertical="center" wrapText="1"/>
    </xf>
    <xf numFmtId="0" fontId="41" fillId="12" borderId="33" xfId="0" applyFont="1" applyFill="1" applyBorder="1" applyAlignment="1">
      <alignment horizontal="center" vertical="center" wrapText="1"/>
    </xf>
    <xf numFmtId="0" fontId="41" fillId="18" borderId="33" xfId="0" applyFont="1" applyFill="1" applyBorder="1" applyAlignment="1">
      <alignment horizontal="center" vertical="center" wrapText="1"/>
    </xf>
    <xf numFmtId="1" fontId="40" fillId="7" borderId="1" xfId="0" applyNumberFormat="1" applyFont="1" applyFill="1" applyBorder="1" applyAlignment="1">
      <alignment horizontal="right" vertical="center"/>
    </xf>
    <xf numFmtId="0" fontId="29" fillId="7" borderId="6" xfId="0" applyFont="1" applyFill="1" applyBorder="1" applyAlignment="1">
      <alignment horizontal="center" vertical="center"/>
    </xf>
    <xf numFmtId="0" fontId="28" fillId="7" borderId="1" xfId="0" applyFont="1" applyFill="1" applyBorder="1" applyAlignment="1">
      <alignment horizontal="center" vertical="center"/>
    </xf>
    <xf numFmtId="0" fontId="28" fillId="7" borderId="1" xfId="0" applyFont="1" applyFill="1" applyBorder="1" applyAlignment="1">
      <alignment horizontal="center" vertical="center" wrapText="1"/>
    </xf>
    <xf numFmtId="0" fontId="59" fillId="7"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28" fillId="7" borderId="6"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28" fillId="7" borderId="1" xfId="0" applyFont="1" applyFill="1" applyBorder="1" applyAlignment="1">
      <alignment vertical="center"/>
    </xf>
    <xf numFmtId="0" fontId="44" fillId="7" borderId="1" xfId="0" applyFont="1" applyFill="1" applyBorder="1" applyAlignment="1">
      <alignment vertical="center"/>
    </xf>
    <xf numFmtId="0" fontId="54" fillId="7" borderId="1" xfId="0" applyFont="1" applyFill="1" applyBorder="1" applyAlignment="1">
      <alignment vertical="center"/>
    </xf>
    <xf numFmtId="0" fontId="58" fillId="7" borderId="1" xfId="0" applyFont="1" applyFill="1" applyBorder="1" applyAlignment="1">
      <alignment vertical="center"/>
    </xf>
    <xf numFmtId="0" fontId="60" fillId="7" borderId="1" xfId="0" applyFont="1" applyFill="1" applyBorder="1" applyAlignment="1">
      <alignment vertical="center" wrapText="1"/>
    </xf>
    <xf numFmtId="1" fontId="60" fillId="7" borderId="1" xfId="0" applyNumberFormat="1" applyFont="1" applyFill="1" applyBorder="1" applyAlignment="1">
      <alignment vertical="center" wrapText="1"/>
    </xf>
    <xf numFmtId="0" fontId="59" fillId="7" borderId="1" xfId="0" applyFont="1" applyFill="1" applyBorder="1" applyAlignment="1">
      <alignment vertical="center" wrapText="1" readingOrder="2"/>
    </xf>
    <xf numFmtId="0" fontId="59" fillId="7" borderId="1" xfId="0" applyFont="1" applyFill="1" applyBorder="1" applyAlignment="1">
      <alignment vertical="center" wrapText="1"/>
    </xf>
    <xf numFmtId="0" fontId="56" fillId="7" borderId="1" xfId="0" applyFont="1" applyFill="1" applyBorder="1" applyAlignment="1">
      <alignment vertical="center" wrapText="1"/>
    </xf>
    <xf numFmtId="0" fontId="46" fillId="7" borderId="1" xfId="0" applyFont="1" applyFill="1" applyBorder="1" applyAlignment="1">
      <alignment vertical="center" wrapText="1"/>
    </xf>
    <xf numFmtId="0" fontId="59" fillId="7" borderId="1" xfId="0" applyFont="1" applyFill="1" applyBorder="1" applyAlignment="1">
      <alignment vertical="center"/>
    </xf>
    <xf numFmtId="0" fontId="54" fillId="0" borderId="1" xfId="0" applyFont="1" applyBorder="1" applyAlignment="1">
      <alignment vertical="center"/>
    </xf>
    <xf numFmtId="0" fontId="44" fillId="0" borderId="1" xfId="0" applyFont="1" applyBorder="1" applyAlignment="1">
      <alignment vertical="center"/>
    </xf>
    <xf numFmtId="0" fontId="59" fillId="0" borderId="1" xfId="0" applyFont="1" applyBorder="1" applyAlignment="1">
      <alignment vertical="center"/>
    </xf>
    <xf numFmtId="0" fontId="4" fillId="0" borderId="0" xfId="0" applyFont="1" applyAlignment="1">
      <alignment vertical="center"/>
    </xf>
    <xf numFmtId="0" fontId="3" fillId="0" borderId="0" xfId="0" applyFont="1" applyAlignment="1">
      <alignment vertical="center"/>
    </xf>
    <xf numFmtId="0" fontId="45" fillId="7" borderId="1" xfId="0" applyFont="1" applyFill="1" applyBorder="1" applyAlignment="1">
      <alignment vertical="center" wrapText="1"/>
    </xf>
    <xf numFmtId="0" fontId="45" fillId="7" borderId="1" xfId="0" applyFont="1" applyFill="1" applyBorder="1" applyAlignment="1">
      <alignment horizontal="center" vertical="center" wrapText="1"/>
    </xf>
    <xf numFmtId="0" fontId="37" fillId="12" borderId="1" xfId="0" applyFont="1" applyFill="1" applyBorder="1" applyAlignment="1">
      <alignment horizontal="center" vertical="center"/>
    </xf>
    <xf numFmtId="0" fontId="68" fillId="7" borderId="1" xfId="0" applyFont="1" applyFill="1" applyBorder="1" applyAlignment="1">
      <alignment vertical="center" wrapText="1"/>
    </xf>
    <xf numFmtId="0" fontId="0" fillId="12" borderId="1" xfId="0" applyFill="1" applyBorder="1" applyAlignment="1">
      <alignment horizontal="center" vertical="center"/>
    </xf>
    <xf numFmtId="0" fontId="76" fillId="12" borderId="1" xfId="0" applyFont="1" applyFill="1" applyBorder="1" applyAlignment="1">
      <alignment horizontal="center" vertical="center" wrapText="1"/>
    </xf>
    <xf numFmtId="0" fontId="73" fillId="22" borderId="0" xfId="0" applyFont="1" applyFill="1" applyBorder="1" applyAlignment="1">
      <alignment horizontal="center" vertical="center" wrapText="1"/>
    </xf>
    <xf numFmtId="0" fontId="0" fillId="7" borderId="0" xfId="0" applyFill="1" applyAlignment="1">
      <alignment vertical="center"/>
    </xf>
    <xf numFmtId="0" fontId="0" fillId="0" borderId="1" xfId="0" applyBorder="1" applyAlignment="1">
      <alignment horizontal="center" vertical="center"/>
    </xf>
    <xf numFmtId="0" fontId="44" fillId="0" borderId="1" xfId="0" applyFont="1" applyBorder="1" applyAlignment="1">
      <alignment horizontal="center" vertical="center"/>
    </xf>
    <xf numFmtId="0" fontId="44" fillId="7" borderId="1" xfId="0" applyFont="1" applyFill="1" applyBorder="1" applyAlignment="1">
      <alignment vertical="center" wrapText="1"/>
    </xf>
    <xf numFmtId="0" fontId="69" fillId="0" borderId="1" xfId="0" applyFont="1" applyBorder="1" applyAlignment="1">
      <alignment vertical="center"/>
    </xf>
    <xf numFmtId="0" fontId="0" fillId="0" borderId="1" xfId="0" applyBorder="1" applyAlignment="1">
      <alignment vertical="center"/>
    </xf>
    <xf numFmtId="49" fontId="11" fillId="10" borderId="1" xfId="5" applyNumberFormat="1" applyFont="1" applyFill="1" applyBorder="1" applyAlignment="1">
      <alignment horizontal="center" vertical="center" wrapText="1" readingOrder="2"/>
    </xf>
    <xf numFmtId="9" fontId="21" fillId="7" borderId="17" xfId="0" applyNumberFormat="1" applyFont="1" applyFill="1" applyBorder="1" applyAlignment="1">
      <alignment horizontal="center" vertical="center"/>
    </xf>
    <xf numFmtId="9" fontId="21" fillId="7" borderId="7" xfId="0" applyNumberFormat="1" applyFont="1" applyFill="1" applyBorder="1" applyAlignment="1">
      <alignment horizontal="center" vertical="center"/>
    </xf>
    <xf numFmtId="9" fontId="21" fillId="7" borderId="21" xfId="0" applyNumberFormat="1" applyFont="1" applyFill="1" applyBorder="1" applyAlignment="1">
      <alignment horizontal="center" vertical="center"/>
    </xf>
    <xf numFmtId="9" fontId="21" fillId="7" borderId="6" xfId="0" applyNumberFormat="1" applyFont="1" applyFill="1" applyBorder="1" applyAlignment="1">
      <alignment vertical="center"/>
    </xf>
    <xf numFmtId="9" fontId="21" fillId="7" borderId="7" xfId="0" applyNumberFormat="1" applyFont="1" applyFill="1" applyBorder="1" applyAlignment="1">
      <alignment vertical="center"/>
    </xf>
    <xf numFmtId="9" fontId="21" fillId="7" borderId="20" xfId="0" applyNumberFormat="1" applyFont="1" applyFill="1" applyBorder="1" applyAlignment="1">
      <alignment vertical="center"/>
    </xf>
    <xf numFmtId="0" fontId="44" fillId="20" borderId="1" xfId="0" applyFont="1" applyFill="1" applyBorder="1" applyAlignment="1">
      <alignment horizontal="center" vertical="center"/>
    </xf>
    <xf numFmtId="1" fontId="44" fillId="0" borderId="1" xfId="0" applyNumberFormat="1" applyFont="1" applyBorder="1" applyAlignment="1">
      <alignment horizontal="center" vertical="center"/>
    </xf>
    <xf numFmtId="1" fontId="77" fillId="12" borderId="1" xfId="0" applyNumberFormat="1" applyFont="1" applyFill="1" applyBorder="1" applyAlignment="1">
      <alignment horizontal="center" vertical="center"/>
    </xf>
    <xf numFmtId="0" fontId="44" fillId="8" borderId="1" xfId="0" applyFont="1" applyFill="1" applyBorder="1" applyAlignment="1">
      <alignment horizontal="center" vertical="center"/>
    </xf>
    <xf numFmtId="0" fontId="44" fillId="21" borderId="1" xfId="0" applyFont="1" applyFill="1" applyBorder="1" applyAlignment="1">
      <alignment horizontal="center" vertical="center"/>
    </xf>
    <xf numFmtId="0" fontId="44" fillId="9" borderId="1" xfId="0" applyFont="1" applyFill="1" applyBorder="1" applyAlignment="1">
      <alignment horizontal="center" vertical="center"/>
    </xf>
    <xf numFmtId="0" fontId="44" fillId="12" borderId="1" xfId="0" applyFont="1" applyFill="1" applyBorder="1" applyAlignment="1">
      <alignment horizontal="center" vertical="center"/>
    </xf>
    <xf numFmtId="0" fontId="44" fillId="23" borderId="1" xfId="0" applyFont="1" applyFill="1" applyBorder="1" applyAlignment="1">
      <alignment horizontal="center" vertical="center"/>
    </xf>
    <xf numFmtId="0" fontId="44" fillId="0" borderId="1" xfId="0" applyFont="1" applyBorder="1" applyAlignment="1">
      <alignment horizontal="center" vertical="center"/>
    </xf>
    <xf numFmtId="0" fontId="68" fillId="20" borderId="1" xfId="0" applyFont="1" applyFill="1" applyBorder="1" applyAlignment="1">
      <alignment horizontal="center" vertical="center" wrapText="1"/>
    </xf>
    <xf numFmtId="0" fontId="74" fillId="7" borderId="1" xfId="0" applyFont="1" applyFill="1" applyBorder="1" applyAlignment="1">
      <alignment horizontal="center" vertical="center" wrapText="1"/>
    </xf>
    <xf numFmtId="0" fontId="74" fillId="7" borderId="12" xfId="0" applyFont="1" applyFill="1" applyBorder="1" applyAlignment="1">
      <alignment horizontal="center" vertical="center" wrapText="1"/>
    </xf>
    <xf numFmtId="0" fontId="67" fillId="7" borderId="6" xfId="0" applyFont="1" applyFill="1" applyBorder="1" applyAlignment="1">
      <alignment vertical="center" wrapText="1"/>
    </xf>
    <xf numFmtId="0" fontId="54" fillId="7" borderId="6" xfId="0" applyFont="1" applyFill="1" applyBorder="1" applyAlignment="1">
      <alignment vertical="center"/>
    </xf>
    <xf numFmtId="0" fontId="3" fillId="0" borderId="6" xfId="0" applyFont="1" applyBorder="1" applyAlignment="1">
      <alignment horizontal="center" vertical="center"/>
    </xf>
    <xf numFmtId="0" fontId="73" fillId="22" borderId="59" xfId="0" applyFont="1" applyFill="1" applyBorder="1" applyAlignment="1">
      <alignment horizontal="center" vertical="center" wrapText="1"/>
    </xf>
    <xf numFmtId="0" fontId="68" fillId="7" borderId="63" xfId="0" applyFont="1" applyFill="1" applyBorder="1" applyAlignment="1">
      <alignment vertical="center" wrapText="1"/>
    </xf>
    <xf numFmtId="0" fontId="0" fillId="24" borderId="0" xfId="0" applyFill="1"/>
    <xf numFmtId="1" fontId="29" fillId="8" borderId="1" xfId="0" applyNumberFormat="1" applyFont="1" applyFill="1" applyBorder="1" applyAlignment="1">
      <alignment horizontal="center" vertical="center"/>
    </xf>
    <xf numFmtId="0" fontId="0" fillId="0" borderId="1" xfId="0" applyBorder="1"/>
    <xf numFmtId="0" fontId="44" fillId="3" borderId="1" xfId="0" applyFont="1" applyFill="1" applyBorder="1" applyAlignment="1">
      <alignment horizontal="center" vertical="center"/>
    </xf>
    <xf numFmtId="1" fontId="68" fillId="20" borderId="1" xfId="0" applyNumberFormat="1" applyFont="1" applyFill="1" applyBorder="1" applyAlignment="1">
      <alignment horizontal="center" vertical="center" wrapText="1"/>
    </xf>
    <xf numFmtId="1" fontId="44" fillId="25" borderId="1" xfId="0" applyNumberFormat="1" applyFont="1" applyFill="1" applyBorder="1" applyAlignment="1">
      <alignment horizontal="center" vertical="center"/>
    </xf>
    <xf numFmtId="49" fontId="22" fillId="7" borderId="1" xfId="5" applyNumberFormat="1" applyFont="1" applyFill="1" applyBorder="1" applyAlignment="1">
      <alignment vertical="center" wrapText="1"/>
    </xf>
    <xf numFmtId="0" fontId="0" fillId="7" borderId="0" xfId="0" applyFill="1"/>
    <xf numFmtId="0" fontId="79" fillId="12" borderId="1" xfId="0" applyFont="1" applyFill="1" applyBorder="1" applyAlignment="1">
      <alignment horizontal="center" vertical="center" wrapText="1"/>
    </xf>
    <xf numFmtId="1" fontId="68" fillId="20" borderId="12" xfId="0" applyNumberFormat="1" applyFont="1" applyFill="1" applyBorder="1" applyAlignment="1">
      <alignment horizontal="center" vertical="center" wrapText="1"/>
    </xf>
    <xf numFmtId="0" fontId="68" fillId="20" borderId="12" xfId="0" applyFont="1" applyFill="1" applyBorder="1" applyAlignment="1">
      <alignment horizontal="center" vertical="center" wrapText="1"/>
    </xf>
    <xf numFmtId="0" fontId="75" fillId="12" borderId="3" xfId="0" applyFont="1" applyFill="1" applyBorder="1" applyAlignment="1">
      <alignment horizontal="center" vertical="center" wrapText="1"/>
    </xf>
    <xf numFmtId="0" fontId="33" fillId="12" borderId="3" xfId="0" applyFont="1" applyFill="1" applyBorder="1" applyAlignment="1">
      <alignment horizontal="center" vertical="center" wrapText="1"/>
    </xf>
    <xf numFmtId="0" fontId="33" fillId="26" borderId="20" xfId="0" applyFont="1" applyFill="1" applyBorder="1" applyAlignment="1">
      <alignment horizontal="center" vertical="center" wrapText="1"/>
    </xf>
    <xf numFmtId="0" fontId="44" fillId="11" borderId="1" xfId="0" applyFont="1" applyFill="1" applyBorder="1" applyAlignment="1">
      <alignment horizontal="center" vertical="center" wrapText="1"/>
    </xf>
    <xf numFmtId="2" fontId="82" fillId="7" borderId="5" xfId="0" applyNumberFormat="1" applyFont="1" applyFill="1" applyBorder="1" applyAlignment="1">
      <alignment horizontal="center" vertical="center" wrapText="1"/>
    </xf>
    <xf numFmtId="1" fontId="44" fillId="20" borderId="1" xfId="0" applyNumberFormat="1" applyFont="1" applyFill="1" applyBorder="1" applyAlignment="1">
      <alignment horizontal="center" vertical="center" wrapText="1"/>
    </xf>
    <xf numFmtId="0" fontId="63" fillId="7" borderId="1" xfId="0" applyFont="1" applyFill="1" applyBorder="1" applyAlignment="1">
      <alignment horizontal="center" vertical="center"/>
    </xf>
    <xf numFmtId="0" fontId="32" fillId="16" borderId="3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45" fillId="7" borderId="33" xfId="0" applyFont="1" applyFill="1" applyBorder="1" applyAlignment="1">
      <alignment horizontal="center" vertical="center" wrapText="1"/>
    </xf>
    <xf numFmtId="0" fontId="45" fillId="7" borderId="68" xfId="0" applyFont="1" applyFill="1" applyBorder="1" applyAlignment="1">
      <alignment horizontal="center" vertical="center" wrapText="1"/>
    </xf>
    <xf numFmtId="0" fontId="54" fillId="7" borderId="63" xfId="0" applyFont="1" applyFill="1" applyBorder="1" applyAlignment="1">
      <alignment vertical="center"/>
    </xf>
    <xf numFmtId="0" fontId="46" fillId="7" borderId="1" xfId="0" applyFont="1" applyFill="1" applyBorder="1" applyAlignment="1">
      <alignment horizontal="center" vertical="center" wrapText="1"/>
    </xf>
    <xf numFmtId="0" fontId="83" fillId="12" borderId="1" xfId="0" applyFont="1" applyFill="1" applyBorder="1" applyAlignment="1">
      <alignment horizontal="center" vertical="center" wrapText="1"/>
    </xf>
    <xf numFmtId="0" fontId="63" fillId="7" borderId="63" xfId="0" applyFont="1" applyFill="1" applyBorder="1" applyAlignment="1">
      <alignment horizontal="center" vertical="center"/>
    </xf>
    <xf numFmtId="0" fontId="54" fillId="0" borderId="63" xfId="0" applyFont="1" applyBorder="1" applyAlignment="1">
      <alignment vertical="center"/>
    </xf>
    <xf numFmtId="0" fontId="69" fillId="12" borderId="1" xfId="0" applyFont="1" applyFill="1" applyBorder="1" applyAlignment="1">
      <alignment horizontal="center" vertical="center" wrapText="1"/>
    </xf>
    <xf numFmtId="0" fontId="3" fillId="0" borderId="1" xfId="0" applyFont="1" applyBorder="1" applyAlignment="1">
      <alignment horizontal="center"/>
    </xf>
    <xf numFmtId="0" fontId="3" fillId="0" borderId="63" xfId="0" applyFont="1" applyBorder="1" applyAlignment="1">
      <alignment horizontal="center"/>
    </xf>
    <xf numFmtId="0" fontId="0" fillId="12" borderId="1" xfId="0" applyFont="1" applyFill="1" applyBorder="1" applyAlignment="1">
      <alignment horizontal="center" vertical="center"/>
    </xf>
    <xf numFmtId="0" fontId="0" fillId="12" borderId="1" xfId="0" applyFont="1" applyFill="1" applyBorder="1" applyAlignment="1">
      <alignment horizontal="center" vertical="center" wrapText="1"/>
    </xf>
    <xf numFmtId="0" fontId="68" fillId="0" borderId="1" xfId="0" applyFont="1" applyBorder="1" applyAlignment="1">
      <alignment vertical="center"/>
    </xf>
    <xf numFmtId="0" fontId="63" fillId="7" borderId="1" xfId="0" applyFont="1" applyFill="1" applyBorder="1" applyAlignment="1">
      <alignment vertical="center"/>
    </xf>
    <xf numFmtId="37" fontId="85" fillId="7" borderId="5" xfId="0" applyNumberFormat="1" applyFont="1" applyFill="1" applyBorder="1" applyAlignment="1">
      <alignment horizontal="left" vertical="center" wrapText="1"/>
    </xf>
    <xf numFmtId="37" fontId="86" fillId="7" borderId="5" xfId="0" applyNumberFormat="1" applyFont="1" applyFill="1" applyBorder="1" applyAlignment="1">
      <alignment horizontal="left" vertical="center" wrapText="1"/>
    </xf>
    <xf numFmtId="0" fontId="44" fillId="0" borderId="1" xfId="0" applyFont="1" applyBorder="1" applyAlignment="1">
      <alignment horizontal="center" vertical="center"/>
    </xf>
    <xf numFmtId="0" fontId="3" fillId="0" borderId="31" xfId="0" applyFont="1" applyBorder="1" applyAlignment="1">
      <alignment horizontal="right" vertical="center"/>
    </xf>
    <xf numFmtId="0" fontId="3" fillId="0" borderId="69" xfId="0" applyFont="1" applyBorder="1" applyAlignment="1">
      <alignment horizontal="right" vertical="center"/>
    </xf>
    <xf numFmtId="0" fontId="67" fillId="7" borderId="1" xfId="0" applyFont="1" applyFill="1" applyBorder="1" applyAlignment="1">
      <alignment horizontal="center" vertical="center" wrapText="1"/>
    </xf>
    <xf numFmtId="0" fontId="67" fillId="7" borderId="63" xfId="0" applyFont="1" applyFill="1" applyBorder="1" applyAlignment="1">
      <alignment horizontal="center" vertical="center" wrapText="1"/>
    </xf>
    <xf numFmtId="0" fontId="60" fillId="7" borderId="1" xfId="0" applyFont="1" applyFill="1" applyBorder="1" applyAlignment="1">
      <alignment horizontal="center" vertical="center" wrapText="1"/>
    </xf>
    <xf numFmtId="0" fontId="0" fillId="0" borderId="31" xfId="0" applyFont="1" applyBorder="1" applyAlignment="1">
      <alignment horizontal="right" vertical="center"/>
    </xf>
    <xf numFmtId="0" fontId="63" fillId="7" borderId="1" xfId="0" applyFont="1" applyFill="1" applyBorder="1" applyAlignment="1">
      <alignment horizontal="center" vertical="center" wrapText="1"/>
    </xf>
    <xf numFmtId="0" fontId="44" fillId="3" borderId="33" xfId="0" applyFont="1" applyFill="1" applyBorder="1" applyAlignment="1">
      <alignment horizontal="center" vertical="center" wrapText="1"/>
    </xf>
    <xf numFmtId="0" fontId="44" fillId="0" borderId="33" xfId="0" applyFont="1" applyBorder="1" applyAlignment="1">
      <alignment horizontal="center" vertical="center" wrapText="1"/>
    </xf>
    <xf numFmtId="0" fontId="44" fillId="0" borderId="6" xfId="0" applyFont="1" applyBorder="1"/>
    <xf numFmtId="0" fontId="44" fillId="0" borderId="70" xfId="0" applyFont="1" applyBorder="1"/>
    <xf numFmtId="0" fontId="44" fillId="3" borderId="1" xfId="0" applyFont="1" applyFill="1" applyBorder="1" applyAlignment="1">
      <alignment horizontal="center" vertical="center" wrapText="1"/>
    </xf>
    <xf numFmtId="0" fontId="63" fillId="7" borderId="1" xfId="0" applyFont="1" applyFill="1" applyBorder="1" applyAlignment="1">
      <alignment horizontal="center" vertical="center"/>
    </xf>
    <xf numFmtId="3" fontId="40" fillId="2" borderId="1" xfId="0" applyNumberFormat="1" applyFont="1" applyFill="1" applyBorder="1" applyAlignment="1">
      <alignment horizontal="right" vertical="center"/>
    </xf>
    <xf numFmtId="3" fontId="40" fillId="7" borderId="1" xfId="0" applyNumberFormat="1" applyFont="1" applyFill="1" applyBorder="1" applyAlignment="1">
      <alignment horizontal="right" vertical="center"/>
    </xf>
    <xf numFmtId="0" fontId="76" fillId="12" borderId="3" xfId="0" applyFont="1" applyFill="1" applyBorder="1" applyAlignment="1">
      <alignment horizontal="center" vertical="center" wrapText="1"/>
    </xf>
    <xf numFmtId="0" fontId="59" fillId="11" borderId="1" xfId="0" applyFont="1" applyFill="1" applyBorder="1" applyAlignment="1">
      <alignment horizontal="center" vertical="center" wrapText="1"/>
    </xf>
    <xf numFmtId="0" fontId="44" fillId="20" borderId="1" xfId="0" applyFont="1" applyFill="1" applyBorder="1" applyAlignment="1">
      <alignment horizontal="center" vertical="center" wrapText="1"/>
    </xf>
    <xf numFmtId="0" fontId="83" fillId="12" borderId="1" xfId="0" applyFont="1" applyFill="1" applyBorder="1" applyAlignment="1">
      <alignment horizontal="center" vertical="center" wrapText="1"/>
    </xf>
    <xf numFmtId="0" fontId="0"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44" fillId="20" borderId="12" xfId="0" applyFont="1" applyFill="1" applyBorder="1" applyAlignment="1">
      <alignment horizontal="center" vertical="center" wrapText="1"/>
    </xf>
    <xf numFmtId="0" fontId="63" fillId="7" borderId="63" xfId="0" applyFont="1" applyFill="1" applyBorder="1" applyAlignment="1">
      <alignment horizontal="center" vertical="center"/>
    </xf>
    <xf numFmtId="0" fontId="63" fillId="0" borderId="1" xfId="0" applyFont="1" applyBorder="1" applyAlignment="1">
      <alignment horizontal="center" vertical="center" wrapText="1"/>
    </xf>
    <xf numFmtId="0" fontId="0" fillId="0" borderId="1" xfId="0" applyBorder="1" applyAlignment="1">
      <alignment horizontal="center"/>
    </xf>
    <xf numFmtId="0" fontId="68" fillId="3" borderId="1" xfId="0" applyFont="1" applyFill="1" applyBorder="1" applyAlignment="1">
      <alignment horizontal="center" vertical="center" wrapText="1"/>
    </xf>
    <xf numFmtId="0" fontId="69" fillId="9" borderId="1" xfId="0" applyFont="1" applyFill="1" applyBorder="1" applyAlignment="1">
      <alignment horizontal="center" vertical="center" wrapText="1"/>
    </xf>
    <xf numFmtId="0" fontId="50" fillId="11" borderId="1" xfId="0" applyFont="1" applyFill="1" applyBorder="1" applyAlignment="1">
      <alignment horizontal="center" vertical="center" wrapText="1"/>
    </xf>
    <xf numFmtId="0" fontId="44" fillId="24" borderId="35" xfId="0" applyFont="1" applyFill="1" applyBorder="1" applyAlignment="1">
      <alignment horizontal="center" vertical="center"/>
    </xf>
    <xf numFmtId="0" fontId="32" fillId="24" borderId="0" xfId="0" applyFont="1" applyFill="1" applyBorder="1" applyAlignment="1">
      <alignment horizontal="center" vertical="center" wrapText="1"/>
    </xf>
    <xf numFmtId="0" fontId="80" fillId="24" borderId="0" xfId="0" applyFont="1" applyFill="1" applyBorder="1" applyAlignment="1">
      <alignment horizontal="center" vertical="center" wrapText="1"/>
    </xf>
    <xf numFmtId="0" fontId="31" fillId="11" borderId="1" xfId="0" applyFont="1" applyFill="1" applyBorder="1" applyAlignment="1">
      <alignment horizontal="center" vertical="center" wrapText="1"/>
    </xf>
    <xf numFmtId="0" fontId="44" fillId="0" borderId="68" xfId="0" applyFont="1" applyBorder="1" applyAlignment="1">
      <alignment horizontal="center" vertical="center" wrapText="1"/>
    </xf>
    <xf numFmtId="0" fontId="63" fillId="0" borderId="63" xfId="0" applyFont="1" applyBorder="1" applyAlignment="1">
      <alignment horizontal="center" vertical="center" wrapText="1"/>
    </xf>
    <xf numFmtId="0" fontId="44" fillId="0" borderId="63" xfId="0" applyFont="1" applyBorder="1" applyAlignment="1">
      <alignment horizontal="center" vertical="center"/>
    </xf>
    <xf numFmtId="0" fontId="3" fillId="0" borderId="1" xfId="0" applyFont="1" applyBorder="1" applyAlignment="1">
      <alignment horizontal="center" vertical="center"/>
    </xf>
    <xf numFmtId="0" fontId="44" fillId="3" borderId="9" xfId="0" applyFont="1" applyFill="1" applyBorder="1" applyAlignment="1">
      <alignment horizontal="center" vertical="center" wrapText="1"/>
    </xf>
    <xf numFmtId="0" fontId="44" fillId="3" borderId="31" xfId="0" applyFont="1" applyFill="1" applyBorder="1" applyAlignment="1">
      <alignment horizontal="center" vertical="center" wrapText="1"/>
    </xf>
    <xf numFmtId="0" fontId="44" fillId="3" borderId="11" xfId="0" applyFont="1" applyFill="1" applyBorder="1" applyAlignment="1">
      <alignment horizontal="center" vertical="center" wrapText="1"/>
    </xf>
    <xf numFmtId="0" fontId="0" fillId="24" borderId="0" xfId="0" applyFill="1" applyBorder="1"/>
    <xf numFmtId="0" fontId="44" fillId="0" borderId="31" xfId="0" applyFont="1" applyBorder="1" applyAlignment="1">
      <alignment horizontal="center" vertical="center"/>
    </xf>
    <xf numFmtId="0" fontId="44" fillId="24" borderId="76" xfId="0" applyFont="1" applyFill="1" applyBorder="1" applyAlignment="1">
      <alignment horizontal="center" vertical="center"/>
    </xf>
    <xf numFmtId="0" fontId="44" fillId="0" borderId="63" xfId="0" applyFont="1" applyBorder="1"/>
    <xf numFmtId="0" fontId="44" fillId="0" borderId="69" xfId="0" applyFont="1" applyBorder="1"/>
    <xf numFmtId="0" fontId="46" fillId="3" borderId="9" xfId="0" applyFont="1" applyFill="1" applyBorder="1" applyAlignment="1">
      <alignment horizontal="center" vertical="center" wrapText="1"/>
    </xf>
    <xf numFmtId="0" fontId="90" fillId="3" borderId="1" xfId="0" applyFont="1" applyFill="1" applyBorder="1"/>
    <xf numFmtId="0" fontId="45" fillId="7" borderId="77" xfId="0" applyFont="1" applyFill="1" applyBorder="1" applyAlignment="1">
      <alignment horizontal="center" vertical="center" wrapText="1"/>
    </xf>
    <xf numFmtId="0" fontId="0" fillId="7" borderId="0" xfId="0" applyFill="1" applyBorder="1" applyAlignment="1">
      <alignment vertical="center"/>
    </xf>
    <xf numFmtId="0" fontId="0" fillId="7" borderId="59" xfId="0" applyFill="1" applyBorder="1" applyAlignment="1">
      <alignment vertical="center"/>
    </xf>
    <xf numFmtId="1" fontId="44" fillId="0" borderId="33" xfId="0" applyNumberFormat="1" applyFont="1" applyBorder="1" applyAlignment="1">
      <alignment horizontal="center" vertical="center" wrapText="1"/>
    </xf>
    <xf numFmtId="1" fontId="44" fillId="2" borderId="33" xfId="0" applyNumberFormat="1" applyFont="1" applyFill="1" applyBorder="1" applyAlignment="1">
      <alignment horizontal="center" vertical="center" wrapText="1"/>
    </xf>
    <xf numFmtId="0" fontId="29" fillId="13" borderId="52" xfId="0" applyFont="1" applyFill="1" applyBorder="1" applyAlignment="1">
      <alignment horizontal="center" vertical="center" wrapText="1"/>
    </xf>
    <xf numFmtId="0" fontId="0" fillId="13" borderId="52" xfId="0" applyFill="1" applyBorder="1" applyAlignment="1">
      <alignment horizontal="center" vertical="center"/>
    </xf>
    <xf numFmtId="0" fontId="28" fillId="13" borderId="52" xfId="0" applyFont="1" applyFill="1" applyBorder="1" applyAlignment="1">
      <alignment horizontal="center" vertical="center" wrapText="1"/>
    </xf>
    <xf numFmtId="0" fontId="28" fillId="13" borderId="52" xfId="0" applyFont="1" applyFill="1" applyBorder="1" applyAlignment="1">
      <alignment horizontal="right" vertical="center" wrapText="1"/>
    </xf>
    <xf numFmtId="0" fontId="15" fillId="12" borderId="79" xfId="4" applyFont="1" applyFill="1" applyBorder="1" applyAlignment="1">
      <alignment horizontal="center" vertical="center" textRotation="90" wrapText="1"/>
    </xf>
    <xf numFmtId="0" fontId="0" fillId="12" borderId="20" xfId="0" applyFill="1" applyBorder="1" applyAlignment="1">
      <alignment horizontal="center" vertical="center" wrapText="1"/>
    </xf>
    <xf numFmtId="0" fontId="0" fillId="12" borderId="20" xfId="0" applyFill="1" applyBorder="1" applyAlignment="1">
      <alignment horizontal="center" vertical="center" textRotation="90"/>
    </xf>
    <xf numFmtId="0" fontId="43" fillId="12" borderId="20" xfId="4" applyFont="1" applyFill="1" applyBorder="1" applyAlignment="1">
      <alignment horizontal="center" vertical="center" wrapText="1"/>
    </xf>
    <xf numFmtId="0" fontId="34" fillId="12" borderId="20" xfId="0" applyFont="1" applyFill="1" applyBorder="1" applyAlignment="1">
      <alignment horizontal="center" vertical="center" wrapText="1"/>
    </xf>
    <xf numFmtId="0" fontId="14" fillId="12" borderId="20" xfId="4" applyFont="1" applyFill="1" applyBorder="1" applyAlignment="1">
      <alignment horizontal="center" vertical="center" wrapText="1"/>
    </xf>
    <xf numFmtId="0" fontId="0" fillId="7" borderId="0" xfId="0" applyFill="1" applyBorder="1" applyAlignment="1">
      <alignment horizontal="center" vertical="center"/>
    </xf>
    <xf numFmtId="49" fontId="48" fillId="7" borderId="63" xfId="5" applyNumberFormat="1" applyFont="1" applyFill="1" applyBorder="1" applyAlignment="1">
      <alignment horizontal="center" vertical="center" wrapText="1"/>
    </xf>
    <xf numFmtId="49" fontId="12" fillId="7" borderId="63" xfId="5" applyNumberFormat="1" applyFont="1" applyFill="1" applyBorder="1" applyAlignment="1">
      <alignment vertical="center" wrapText="1"/>
    </xf>
    <xf numFmtId="1" fontId="54" fillId="11" borderId="33" xfId="0" applyNumberFormat="1" applyFont="1" applyFill="1" applyBorder="1" applyAlignment="1">
      <alignment horizontal="center" vertical="center" wrapText="1"/>
    </xf>
    <xf numFmtId="1" fontId="59" fillId="0" borderId="9" xfId="0" applyNumberFormat="1" applyFont="1" applyBorder="1" applyAlignment="1">
      <alignment horizontal="center" vertical="center" wrapText="1"/>
    </xf>
    <xf numFmtId="1" fontId="59" fillId="2" borderId="9" xfId="0" applyNumberFormat="1" applyFont="1" applyFill="1" applyBorder="1" applyAlignment="1">
      <alignment horizontal="center" vertical="center" wrapText="1"/>
    </xf>
    <xf numFmtId="1" fontId="54" fillId="28" borderId="9" xfId="0" applyNumberFormat="1" applyFont="1" applyFill="1" applyBorder="1" applyAlignment="1">
      <alignment horizontal="center" vertical="center" wrapText="1"/>
    </xf>
    <xf numFmtId="1" fontId="59" fillId="0" borderId="11" xfId="0" applyNumberFormat="1" applyFont="1" applyBorder="1" applyAlignment="1">
      <alignment horizontal="center" vertical="center" wrapText="1"/>
    </xf>
    <xf numFmtId="0" fontId="0" fillId="27" borderId="1" xfId="0" applyFill="1" applyBorder="1" applyAlignment="1">
      <alignment horizontal="center" vertical="center" wrapText="1"/>
    </xf>
    <xf numFmtId="0" fontId="44" fillId="0" borderId="1" xfId="0" applyFont="1" applyBorder="1" applyAlignment="1">
      <alignment horizontal="center" wrapText="1"/>
    </xf>
    <xf numFmtId="0" fontId="44" fillId="0" borderId="12" xfId="0" applyFont="1" applyBorder="1" applyAlignment="1">
      <alignment horizontal="center" wrapText="1"/>
    </xf>
    <xf numFmtId="1" fontId="44" fillId="0" borderId="64" xfId="0" applyNumberFormat="1" applyFont="1" applyBorder="1" applyAlignment="1">
      <alignment horizontal="center" vertical="center" wrapText="1"/>
    </xf>
    <xf numFmtId="1" fontId="59" fillId="0" borderId="5" xfId="0" applyNumberFormat="1" applyFont="1" applyBorder="1" applyAlignment="1">
      <alignment horizontal="center" vertical="center" wrapText="1"/>
    </xf>
    <xf numFmtId="1" fontId="59" fillId="0" borderId="85" xfId="0" applyNumberFormat="1" applyFont="1" applyBorder="1" applyAlignment="1">
      <alignment horizontal="center" vertical="center" wrapText="1"/>
    </xf>
    <xf numFmtId="0" fontId="0" fillId="12" borderId="9" xfId="0" applyFill="1" applyBorder="1" applyAlignment="1">
      <alignment horizontal="center" vertical="center" wrapText="1"/>
    </xf>
    <xf numFmtId="0" fontId="50" fillId="12" borderId="1" xfId="0" applyFont="1" applyFill="1" applyBorder="1" applyAlignment="1">
      <alignment horizontal="center" vertical="center" wrapText="1"/>
    </xf>
    <xf numFmtId="0" fontId="69" fillId="12" borderId="11" xfId="0" applyFont="1" applyFill="1" applyBorder="1" applyAlignment="1">
      <alignment horizontal="center" vertical="center" wrapText="1"/>
    </xf>
    <xf numFmtId="0" fontId="50" fillId="27" borderId="5"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31" xfId="0" applyFill="1" applyBorder="1" applyAlignment="1">
      <alignment horizontal="center" vertical="center"/>
    </xf>
    <xf numFmtId="0" fontId="0" fillId="0" borderId="1" xfId="0" applyBorder="1" applyAlignment="1">
      <alignment horizontal="center" vertical="center"/>
    </xf>
    <xf numFmtId="0" fontId="0" fillId="0" borderId="31" xfId="0" applyBorder="1" applyAlignment="1">
      <alignment horizontal="center" vertical="center"/>
    </xf>
    <xf numFmtId="0" fontId="0" fillId="7" borderId="52" xfId="0" applyFill="1" applyBorder="1" applyAlignment="1">
      <alignment horizontal="center" vertical="center"/>
    </xf>
    <xf numFmtId="0" fontId="0" fillId="7" borderId="71" xfId="0" applyFill="1" applyBorder="1" applyAlignment="1">
      <alignment horizontal="center" vertical="center"/>
    </xf>
    <xf numFmtId="0" fontId="3" fillId="0" borderId="32" xfId="0" applyFont="1" applyBorder="1" applyAlignment="1">
      <alignment horizontal="center" vertical="center"/>
    </xf>
    <xf numFmtId="0" fontId="3" fillId="0" borderId="51" xfId="0" applyFont="1" applyBorder="1" applyAlignment="1">
      <alignment horizontal="center" vertical="center"/>
    </xf>
    <xf numFmtId="0" fontId="3" fillId="0" borderId="62" xfId="0" applyFont="1" applyBorder="1" applyAlignment="1">
      <alignment horizontal="center" vertical="center"/>
    </xf>
    <xf numFmtId="0" fontId="80" fillId="14" borderId="58" xfId="0" applyFont="1" applyFill="1" applyBorder="1" applyAlignment="1">
      <alignment horizontal="center" vertical="center" wrapText="1"/>
    </xf>
    <xf numFmtId="0" fontId="80" fillId="14" borderId="74" xfId="0" applyFont="1" applyFill="1" applyBorder="1" applyAlignment="1">
      <alignment horizontal="center" vertical="center" wrapText="1"/>
    </xf>
    <xf numFmtId="0" fontId="33" fillId="0" borderId="47" xfId="0" applyFont="1" applyBorder="1" applyAlignment="1">
      <alignment horizontal="center" vertical="center" wrapText="1"/>
    </xf>
    <xf numFmtId="0" fontId="33" fillId="0" borderId="48" xfId="0" applyFont="1" applyBorder="1" applyAlignment="1">
      <alignment horizontal="center" vertical="center" wrapText="1"/>
    </xf>
    <xf numFmtId="1" fontId="54" fillId="11" borderId="1" xfId="0" applyNumberFormat="1" applyFont="1" applyFill="1" applyBorder="1" applyAlignment="1">
      <alignment horizontal="center" vertical="center" wrapText="1"/>
    </xf>
    <xf numFmtId="1" fontId="54" fillId="11" borderId="5" xfId="0" applyNumberFormat="1" applyFont="1" applyFill="1" applyBorder="1" applyAlignment="1">
      <alignment horizontal="center" vertical="center" wrapText="1"/>
    </xf>
    <xf numFmtId="1" fontId="60" fillId="7" borderId="1" xfId="0" applyNumberFormat="1" applyFont="1" applyFill="1" applyBorder="1" applyAlignment="1">
      <alignment horizontal="center" vertical="center"/>
    </xf>
    <xf numFmtId="1" fontId="60" fillId="7" borderId="5" xfId="0" applyNumberFormat="1" applyFont="1" applyFill="1" applyBorder="1" applyAlignment="1">
      <alignment horizontal="center" vertical="center"/>
    </xf>
    <xf numFmtId="0" fontId="63" fillId="7" borderId="1" xfId="0" applyFont="1" applyFill="1" applyBorder="1" applyAlignment="1">
      <alignment horizontal="center" vertical="center"/>
    </xf>
    <xf numFmtId="0" fontId="3" fillId="0" borderId="1" xfId="0" applyFont="1" applyBorder="1" applyAlignment="1">
      <alignment horizontal="center" vertical="center" wrapText="1"/>
    </xf>
    <xf numFmtId="0" fontId="46" fillId="7" borderId="1" xfId="0" applyFont="1" applyFill="1" applyBorder="1" applyAlignment="1">
      <alignment horizontal="right" vertical="center" wrapText="1"/>
    </xf>
    <xf numFmtId="0" fontId="46" fillId="7" borderId="1" xfId="0" applyFont="1" applyFill="1" applyBorder="1" applyAlignment="1">
      <alignment horizontal="right" vertical="center"/>
    </xf>
    <xf numFmtId="0" fontId="44" fillId="0" borderId="1" xfId="0" applyFont="1" applyBorder="1" applyAlignment="1">
      <alignment horizontal="center"/>
    </xf>
    <xf numFmtId="0" fontId="44" fillId="0" borderId="63" xfId="0" applyFont="1" applyBorder="1" applyAlignment="1">
      <alignment horizontal="center"/>
    </xf>
    <xf numFmtId="0" fontId="88" fillId="0" borderId="1" xfId="7" applyBorder="1" applyAlignment="1">
      <alignment horizontal="center"/>
    </xf>
    <xf numFmtId="0" fontId="0" fillId="0" borderId="1" xfId="0" applyBorder="1" applyAlignment="1">
      <alignment horizontal="center"/>
    </xf>
    <xf numFmtId="0" fontId="0" fillId="0" borderId="63" xfId="0" applyBorder="1" applyAlignment="1">
      <alignment horizontal="center"/>
    </xf>
    <xf numFmtId="0" fontId="3" fillId="0" borderId="36" xfId="0" applyFont="1" applyBorder="1" applyAlignment="1">
      <alignment horizontal="center" vertical="center"/>
    </xf>
    <xf numFmtId="0" fontId="3" fillId="0" borderId="0" xfId="0" applyFont="1" applyBorder="1" applyAlignment="1">
      <alignment horizontal="center" vertical="center"/>
    </xf>
    <xf numFmtId="0" fontId="3" fillId="0" borderId="59" xfId="0" applyFont="1" applyBorder="1" applyAlignment="1">
      <alignment horizontal="center" vertical="center"/>
    </xf>
    <xf numFmtId="0" fontId="3" fillId="0" borderId="27" xfId="0" applyFont="1" applyBorder="1" applyAlignment="1">
      <alignment horizontal="center" vertical="center"/>
    </xf>
    <xf numFmtId="0" fontId="3" fillId="0" borderId="53" xfId="0" applyFont="1" applyBorder="1" applyAlignment="1">
      <alignment horizontal="center" vertical="center"/>
    </xf>
    <xf numFmtId="0" fontId="3" fillId="0" borderId="72" xfId="0" applyFont="1" applyBorder="1" applyAlignment="1">
      <alignment horizontal="center" vertical="center"/>
    </xf>
    <xf numFmtId="0" fontId="80" fillId="14" borderId="61" xfId="0" applyFont="1" applyFill="1" applyBorder="1" applyAlignment="1">
      <alignment horizontal="center" vertical="center" wrapText="1"/>
    </xf>
    <xf numFmtId="0" fontId="80" fillId="14" borderId="0" xfId="0" applyFont="1" applyFill="1" applyBorder="1" applyAlignment="1">
      <alignment horizontal="center" vertical="center" wrapText="1"/>
    </xf>
    <xf numFmtId="0" fontId="80" fillId="14" borderId="59" xfId="0" applyFont="1" applyFill="1" applyBorder="1" applyAlignment="1">
      <alignment horizontal="center" vertical="center" wrapText="1"/>
    </xf>
    <xf numFmtId="0" fontId="32" fillId="16" borderId="32" xfId="0" applyFont="1" applyFill="1" applyBorder="1" applyAlignment="1">
      <alignment horizontal="center" vertical="center" wrapText="1"/>
    </xf>
    <xf numFmtId="0" fontId="32" fillId="16" borderId="51" xfId="0" applyFont="1" applyFill="1" applyBorder="1" applyAlignment="1">
      <alignment horizontal="center" vertical="center" wrapText="1"/>
    </xf>
    <xf numFmtId="0" fontId="32" fillId="16" borderId="62" xfId="0" applyFont="1" applyFill="1" applyBorder="1" applyAlignment="1">
      <alignment horizontal="center" vertical="center" wrapText="1"/>
    </xf>
    <xf numFmtId="1" fontId="35" fillId="3" borderId="73" xfId="0" applyNumberFormat="1" applyFont="1" applyFill="1" applyBorder="1" applyAlignment="1">
      <alignment horizontal="center" vertical="center"/>
    </xf>
    <xf numFmtId="1" fontId="35" fillId="3" borderId="51" xfId="0" applyNumberFormat="1" applyFont="1" applyFill="1" applyBorder="1" applyAlignment="1">
      <alignment horizontal="center" vertical="center"/>
    </xf>
    <xf numFmtId="1" fontId="35" fillId="3" borderId="84" xfId="0" applyNumberFormat="1" applyFont="1" applyFill="1" applyBorder="1" applyAlignment="1">
      <alignment horizontal="center" vertical="center"/>
    </xf>
    <xf numFmtId="0" fontId="70" fillId="7" borderId="1" xfId="0" applyFont="1" applyFill="1" applyBorder="1" applyAlignment="1">
      <alignment horizontal="right" vertical="center"/>
    </xf>
    <xf numFmtId="0" fontId="44" fillId="7" borderId="1" xfId="0" applyFont="1" applyFill="1" applyBorder="1" applyAlignment="1">
      <alignment horizontal="right" vertical="center" wrapText="1"/>
    </xf>
    <xf numFmtId="0" fontId="70" fillId="7" borderId="63" xfId="0" applyFont="1" applyFill="1" applyBorder="1" applyAlignment="1">
      <alignment horizontal="right" vertical="center"/>
    </xf>
    <xf numFmtId="0" fontId="63" fillId="7" borderId="63" xfId="0" applyFont="1" applyFill="1" applyBorder="1" applyAlignment="1">
      <alignment horizontal="center" vertical="center"/>
    </xf>
    <xf numFmtId="0" fontId="3" fillId="0" borderId="63" xfId="0" applyFont="1" applyBorder="1" applyAlignment="1">
      <alignment horizontal="center" vertical="center" wrapText="1"/>
    </xf>
    <xf numFmtId="0" fontId="54" fillId="7" borderId="63" xfId="0" applyFont="1" applyFill="1" applyBorder="1" applyAlignment="1">
      <alignment horizontal="right" vertical="center" wrapText="1"/>
    </xf>
    <xf numFmtId="0" fontId="63" fillId="7" borderId="1" xfId="0" applyFont="1" applyFill="1" applyBorder="1" applyAlignment="1">
      <alignment horizontal="right" vertical="center"/>
    </xf>
    <xf numFmtId="0" fontId="56" fillId="14" borderId="61" xfId="0" applyFont="1" applyFill="1" applyBorder="1" applyAlignment="1">
      <alignment horizontal="center" vertical="center" wrapText="1"/>
    </xf>
    <xf numFmtId="0" fontId="56" fillId="14" borderId="0" xfId="0" applyFont="1" applyFill="1" applyBorder="1" applyAlignment="1">
      <alignment horizontal="center" vertical="center" wrapText="1"/>
    </xf>
    <xf numFmtId="0" fontId="56" fillId="14" borderId="59" xfId="0" applyFont="1" applyFill="1" applyBorder="1" applyAlignment="1">
      <alignment horizontal="center" vertical="center" wrapText="1"/>
    </xf>
    <xf numFmtId="0" fontId="32" fillId="16" borderId="1" xfId="0" applyFont="1" applyFill="1" applyBorder="1" applyAlignment="1">
      <alignment horizontal="center" vertical="center" wrapText="1"/>
    </xf>
    <xf numFmtId="0" fontId="32" fillId="16" borderId="3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31" xfId="0" applyFont="1" applyBorder="1" applyAlignment="1">
      <alignment horizontal="center" vertical="center"/>
    </xf>
    <xf numFmtId="0" fontId="74" fillId="7" borderId="32" xfId="0" applyFont="1" applyFill="1" applyBorder="1" applyAlignment="1">
      <alignment horizontal="center" vertical="center" wrapText="1"/>
    </xf>
    <xf numFmtId="0" fontId="74" fillId="7" borderId="51" xfId="0" applyFont="1" applyFill="1" applyBorder="1" applyAlignment="1">
      <alignment horizontal="center" vertical="center" wrapText="1"/>
    </xf>
    <xf numFmtId="0" fontId="74" fillId="7" borderId="62" xfId="0" applyFont="1" applyFill="1" applyBorder="1" applyAlignment="1">
      <alignment horizontal="center" vertical="center" wrapText="1"/>
    </xf>
    <xf numFmtId="0" fontId="74" fillId="7" borderId="44" xfId="0" applyFont="1" applyFill="1" applyBorder="1" applyAlignment="1">
      <alignment horizontal="center" vertical="center" wrapText="1"/>
    </xf>
    <xf numFmtId="0" fontId="74" fillId="7" borderId="43" xfId="0" applyFont="1" applyFill="1" applyBorder="1" applyAlignment="1">
      <alignment horizontal="center" vertical="center" wrapText="1"/>
    </xf>
    <xf numFmtId="0" fontId="74" fillId="7" borderId="45" xfId="0" applyFont="1" applyFill="1" applyBorder="1" applyAlignment="1">
      <alignment horizontal="center" vertical="center" wrapText="1"/>
    </xf>
    <xf numFmtId="0" fontId="13" fillId="12" borderId="36" xfId="4" applyFont="1" applyFill="1" applyBorder="1" applyAlignment="1">
      <alignment horizontal="center" vertical="center" wrapText="1"/>
    </xf>
    <xf numFmtId="0" fontId="13" fillId="12" borderId="0" xfId="4" applyFont="1" applyFill="1" applyBorder="1" applyAlignment="1">
      <alignment horizontal="center" vertical="center" wrapText="1"/>
    </xf>
    <xf numFmtId="0" fontId="13" fillId="12" borderId="59" xfId="4" applyFont="1" applyFill="1" applyBorder="1" applyAlignment="1">
      <alignment horizontal="center" vertical="center" wrapText="1"/>
    </xf>
    <xf numFmtId="0" fontId="0" fillId="0" borderId="30" xfId="0" applyBorder="1" applyAlignment="1">
      <alignment horizontal="center" vertical="center"/>
    </xf>
    <xf numFmtId="0" fontId="0" fillId="0" borderId="52" xfId="0" applyBorder="1" applyAlignment="1">
      <alignment horizontal="center" vertical="center"/>
    </xf>
    <xf numFmtId="0" fontId="0" fillId="0" borderId="71" xfId="0" applyBorder="1" applyAlignment="1">
      <alignment horizontal="center" vertical="center"/>
    </xf>
    <xf numFmtId="0" fontId="0" fillId="0" borderId="36" xfId="0" applyBorder="1" applyAlignment="1">
      <alignment horizontal="center" vertical="center"/>
    </xf>
    <xf numFmtId="0" fontId="0" fillId="0" borderId="0" xfId="0" applyBorder="1" applyAlignment="1">
      <alignment horizontal="center" vertical="center"/>
    </xf>
    <xf numFmtId="0" fontId="0" fillId="0" borderId="59" xfId="0" applyBorder="1" applyAlignment="1">
      <alignment horizontal="center" vertical="center"/>
    </xf>
    <xf numFmtId="0" fontId="0" fillId="0" borderId="27" xfId="0" applyBorder="1" applyAlignment="1">
      <alignment horizontal="center" vertical="center"/>
    </xf>
    <xf numFmtId="0" fontId="0" fillId="0" borderId="53" xfId="0" applyBorder="1" applyAlignment="1">
      <alignment horizontal="center" vertical="center"/>
    </xf>
    <xf numFmtId="0" fontId="0" fillId="0" borderId="72" xfId="0" applyBorder="1" applyAlignment="1">
      <alignment horizontal="center" vertical="center"/>
    </xf>
    <xf numFmtId="0" fontId="32" fillId="14" borderId="80" xfId="0" applyFont="1" applyFill="1" applyBorder="1" applyAlignment="1">
      <alignment horizontal="center" vertical="center" wrapText="1"/>
    </xf>
    <xf numFmtId="0" fontId="32" fillId="14" borderId="81" xfId="0" applyFont="1" applyFill="1" applyBorder="1" applyAlignment="1">
      <alignment horizontal="center" vertical="center" wrapText="1"/>
    </xf>
    <xf numFmtId="0" fontId="32" fillId="14" borderId="82" xfId="0" applyFont="1" applyFill="1" applyBorder="1" applyAlignment="1">
      <alignment horizontal="center" vertical="center" wrapText="1"/>
    </xf>
    <xf numFmtId="0" fontId="84" fillId="7" borderId="1" xfId="0" applyFont="1" applyFill="1" applyBorder="1" applyAlignment="1">
      <alignment horizontal="right" vertical="center" wrapText="1"/>
    </xf>
    <xf numFmtId="0" fontId="3" fillId="0" borderId="6" xfId="0" applyFont="1" applyBorder="1" applyAlignment="1">
      <alignment horizontal="center" vertical="center" wrapText="1"/>
    </xf>
    <xf numFmtId="0" fontId="54" fillId="7" borderId="1" xfId="0" applyFont="1" applyFill="1" applyBorder="1" applyAlignment="1">
      <alignment horizontal="right" vertical="center" wrapText="1"/>
    </xf>
    <xf numFmtId="0" fontId="54" fillId="7" borderId="6" xfId="0" applyFont="1" applyFill="1" applyBorder="1" applyAlignment="1">
      <alignment horizontal="right" vertical="center" wrapText="1"/>
    </xf>
    <xf numFmtId="0" fontId="15" fillId="12" borderId="33" xfId="4" applyFont="1" applyFill="1" applyBorder="1" applyAlignment="1">
      <alignment horizontal="center" vertical="center" wrapText="1"/>
    </xf>
    <xf numFmtId="0" fontId="83" fillId="12" borderId="1" xfId="0" applyFont="1" applyFill="1" applyBorder="1" applyAlignment="1">
      <alignment horizontal="center" vertical="center" wrapText="1"/>
    </xf>
    <xf numFmtId="0" fontId="0" fillId="12" borderId="1" xfId="0" applyFont="1" applyFill="1" applyBorder="1" applyAlignment="1">
      <alignment horizontal="center" vertical="center" wrapText="1"/>
    </xf>
    <xf numFmtId="0" fontId="68" fillId="12" borderId="1" xfId="0" applyFont="1" applyFill="1" applyBorder="1" applyAlignment="1">
      <alignment horizontal="center" vertical="center" wrapText="1"/>
    </xf>
    <xf numFmtId="0" fontId="68" fillId="12" borderId="1" xfId="0" applyFont="1" applyFill="1" applyBorder="1" applyAlignment="1">
      <alignment horizontal="center" vertical="center"/>
    </xf>
    <xf numFmtId="0" fontId="3" fillId="12" borderId="1" xfId="0" applyFont="1" applyFill="1" applyBorder="1" applyAlignment="1">
      <alignment horizontal="center" vertical="center" wrapText="1"/>
    </xf>
    <xf numFmtId="0" fontId="44" fillId="20" borderId="12" xfId="0" applyFont="1" applyFill="1" applyBorder="1" applyAlignment="1">
      <alignment horizontal="center" vertical="center" wrapText="1"/>
    </xf>
    <xf numFmtId="0" fontId="71" fillId="12" borderId="61" xfId="0" applyFont="1" applyFill="1" applyBorder="1" applyAlignment="1">
      <alignment horizontal="center" vertical="center"/>
    </xf>
    <xf numFmtId="0" fontId="71" fillId="12" borderId="0" xfId="0" applyFont="1" applyFill="1" applyBorder="1" applyAlignment="1">
      <alignment horizontal="center" vertical="center"/>
    </xf>
    <xf numFmtId="0" fontId="71" fillId="12" borderId="37" xfId="0" applyFont="1" applyFill="1" applyBorder="1" applyAlignment="1">
      <alignment horizontal="center" vertical="center"/>
    </xf>
    <xf numFmtId="0" fontId="71" fillId="12" borderId="47" xfId="0" applyFont="1" applyFill="1" applyBorder="1" applyAlignment="1">
      <alignment horizontal="center" vertical="center"/>
    </xf>
    <xf numFmtId="0" fontId="71" fillId="12" borderId="48" xfId="0" applyFont="1" applyFill="1" applyBorder="1" applyAlignment="1">
      <alignment horizontal="center" vertical="center"/>
    </xf>
    <xf numFmtId="0" fontId="71" fillId="12" borderId="34" xfId="0" applyFont="1" applyFill="1" applyBorder="1" applyAlignment="1">
      <alignment horizontal="center" vertical="center"/>
    </xf>
    <xf numFmtId="0" fontId="29" fillId="0" borderId="46" xfId="0" applyFont="1" applyBorder="1" applyAlignment="1">
      <alignment horizontal="center" vertical="center" textRotation="90" wrapText="1"/>
    </xf>
    <xf numFmtId="0" fontId="29" fillId="0" borderId="33" xfId="0" applyFont="1" applyBorder="1" applyAlignment="1">
      <alignment horizontal="center" vertical="center" textRotation="90"/>
    </xf>
    <xf numFmtId="0" fontId="29" fillId="0" borderId="64" xfId="0" applyFont="1" applyBorder="1" applyAlignment="1">
      <alignment horizontal="center" vertical="center" textRotation="90"/>
    </xf>
    <xf numFmtId="0" fontId="81" fillId="12" borderId="4" xfId="0" applyFont="1" applyFill="1" applyBorder="1" applyAlignment="1">
      <alignment horizontal="center" vertical="center" wrapText="1"/>
    </xf>
    <xf numFmtId="0" fontId="81" fillId="12" borderId="5" xfId="0" applyFont="1" applyFill="1" applyBorder="1" applyAlignment="1">
      <alignment horizontal="center" vertical="center" wrapText="1"/>
    </xf>
    <xf numFmtId="0" fontId="0" fillId="0" borderId="7" xfId="0" applyBorder="1" applyAlignment="1">
      <alignment horizontal="center" vertical="center"/>
    </xf>
    <xf numFmtId="0" fontId="0" fillId="0" borderId="20" xfId="0" applyBorder="1" applyAlignment="1">
      <alignment horizontal="center" vertical="center"/>
    </xf>
    <xf numFmtId="0" fontId="32" fillId="16" borderId="29" xfId="0" applyFont="1" applyFill="1" applyBorder="1" applyAlignment="1">
      <alignment horizontal="center" vertical="center" wrapText="1"/>
    </xf>
    <xf numFmtId="0" fontId="0" fillId="12" borderId="32" xfId="0" applyFill="1" applyBorder="1" applyAlignment="1">
      <alignment horizontal="center" vertical="center" wrapText="1"/>
    </xf>
    <xf numFmtId="0" fontId="0" fillId="12" borderId="29" xfId="0" applyFill="1" applyBorder="1" applyAlignment="1">
      <alignment horizontal="center" vertical="center" wrapText="1"/>
    </xf>
    <xf numFmtId="0" fontId="76" fillId="12" borderId="3" xfId="0" applyFont="1" applyFill="1" applyBorder="1" applyAlignment="1">
      <alignment horizontal="center" vertical="center" wrapText="1"/>
    </xf>
    <xf numFmtId="0" fontId="59" fillId="11" borderId="1" xfId="0" applyFont="1" applyFill="1" applyBorder="1" applyAlignment="1">
      <alignment horizontal="center" vertical="center" wrapText="1"/>
    </xf>
    <xf numFmtId="0" fontId="44" fillId="20" borderId="1" xfId="0" applyFont="1" applyFill="1" applyBorder="1" applyAlignment="1">
      <alignment horizontal="center" vertical="center" wrapText="1"/>
    </xf>
    <xf numFmtId="0" fontId="3" fillId="12" borderId="32" xfId="0" applyFont="1" applyFill="1" applyBorder="1" applyAlignment="1">
      <alignment horizontal="center" vertical="center" wrapText="1"/>
    </xf>
    <xf numFmtId="0" fontId="3" fillId="12" borderId="29" xfId="0" applyFont="1" applyFill="1" applyBorder="1" applyAlignment="1">
      <alignment horizontal="center" vertical="center" wrapText="1"/>
    </xf>
    <xf numFmtId="0" fontId="33" fillId="15" borderId="79" xfId="0" applyFont="1" applyFill="1" applyBorder="1" applyAlignment="1">
      <alignment horizontal="center" vertical="center" textRotation="90" wrapText="1"/>
    </xf>
    <xf numFmtId="0" fontId="33" fillId="15" borderId="33" xfId="0" applyFont="1" applyFill="1" applyBorder="1" applyAlignment="1">
      <alignment horizontal="center" vertical="center" textRotation="90" wrapText="1"/>
    </xf>
    <xf numFmtId="0" fontId="34" fillId="15" borderId="20" xfId="0" applyFont="1" applyFill="1" applyBorder="1" applyAlignment="1">
      <alignment horizontal="center" vertical="center" wrapText="1"/>
    </xf>
    <xf numFmtId="0" fontId="34" fillId="15" borderId="22" xfId="0" applyFont="1" applyFill="1" applyBorder="1" applyAlignment="1">
      <alignment horizontal="center" vertical="center" wrapText="1"/>
    </xf>
    <xf numFmtId="0" fontId="34" fillId="15" borderId="1" xfId="0" applyFont="1" applyFill="1" applyBorder="1" applyAlignment="1">
      <alignment horizontal="center" vertical="center" wrapText="1"/>
    </xf>
    <xf numFmtId="0" fontId="34" fillId="15" borderId="5" xfId="0" applyFont="1" applyFill="1" applyBorder="1" applyAlignment="1">
      <alignment horizontal="center" vertical="center" wrapText="1"/>
    </xf>
    <xf numFmtId="0" fontId="35" fillId="15" borderId="25" xfId="0" applyFont="1" applyFill="1" applyBorder="1" applyAlignment="1">
      <alignment horizontal="center" vertical="center" wrapText="1"/>
    </xf>
    <xf numFmtId="0" fontId="35" fillId="15" borderId="20" xfId="0" applyFont="1" applyFill="1" applyBorder="1" applyAlignment="1">
      <alignment horizontal="center" vertical="center" wrapText="1"/>
    </xf>
    <xf numFmtId="0" fontId="35" fillId="15" borderId="27" xfId="0" applyFont="1" applyFill="1" applyBorder="1" applyAlignment="1">
      <alignment horizontal="center" vertical="center" wrapText="1"/>
    </xf>
    <xf numFmtId="0" fontId="34" fillId="16" borderId="25" xfId="0" applyFont="1" applyFill="1" applyBorder="1" applyAlignment="1">
      <alignment horizontal="center" vertical="center" wrapText="1"/>
    </xf>
    <xf numFmtId="0" fontId="34" fillId="16" borderId="20" xfId="0" applyFont="1" applyFill="1" applyBorder="1" applyAlignment="1">
      <alignment horizontal="center" vertical="center" wrapText="1"/>
    </xf>
    <xf numFmtId="0" fontId="36" fillId="0" borderId="25" xfId="0" applyFont="1" applyBorder="1" applyAlignment="1">
      <alignment horizontal="center" vertical="center"/>
    </xf>
    <xf numFmtId="0" fontId="36" fillId="0" borderId="20" xfId="0" applyFont="1" applyBorder="1" applyAlignment="1">
      <alignment horizontal="center" vertical="center"/>
    </xf>
    <xf numFmtId="0" fontId="36" fillId="0" borderId="22" xfId="0" applyFont="1" applyBorder="1" applyAlignment="1">
      <alignment horizontal="center" vertical="center"/>
    </xf>
    <xf numFmtId="0" fontId="36" fillId="0" borderId="9" xfId="0" applyFont="1" applyBorder="1" applyAlignment="1">
      <alignment horizontal="center" vertical="center"/>
    </xf>
    <xf numFmtId="0" fontId="36" fillId="0" borderId="1" xfId="0" applyFont="1" applyBorder="1" applyAlignment="1">
      <alignment horizontal="center" vertical="center"/>
    </xf>
    <xf numFmtId="0" fontId="36" fillId="0" borderId="32" xfId="0" applyFont="1" applyBorder="1" applyAlignment="1">
      <alignment horizontal="center" vertical="center"/>
    </xf>
    <xf numFmtId="0" fontId="31" fillId="13" borderId="55" xfId="0" applyFont="1" applyFill="1" applyBorder="1" applyAlignment="1">
      <alignment horizontal="center" vertical="center" wrapText="1"/>
    </xf>
    <xf numFmtId="0" fontId="31" fillId="13" borderId="6"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0" fillId="0" borderId="1" xfId="0" applyBorder="1" applyAlignment="1">
      <alignment horizontal="center" vertical="center" wrapText="1"/>
    </xf>
    <xf numFmtId="0" fontId="0" fillId="0" borderId="32" xfId="0" applyBorder="1" applyAlignment="1">
      <alignment horizontal="center" vertical="center" wrapText="1"/>
    </xf>
    <xf numFmtId="0" fontId="50" fillId="13" borderId="18" xfId="0" applyFont="1" applyFill="1" applyBorder="1" applyAlignment="1">
      <alignment horizontal="center" vertical="center" wrapText="1"/>
    </xf>
    <xf numFmtId="0" fontId="50" fillId="13" borderId="7" xfId="0" applyFont="1" applyFill="1" applyBorder="1" applyAlignment="1">
      <alignment horizontal="center" vertical="center" wrapText="1"/>
    </xf>
    <xf numFmtId="0" fontId="50" fillId="13" borderId="25" xfId="0" applyFont="1" applyFill="1" applyBorder="1" applyAlignment="1">
      <alignment horizontal="center" vertical="center" wrapText="1"/>
    </xf>
    <xf numFmtId="0" fontId="50" fillId="13" borderId="20" xfId="0" applyFont="1" applyFill="1" applyBorder="1" applyAlignment="1">
      <alignment horizontal="center" vertical="center" wrapText="1"/>
    </xf>
    <xf numFmtId="0" fontId="8" fillId="12" borderId="1" xfId="0" applyFont="1" applyFill="1" applyBorder="1" applyAlignment="1">
      <alignment horizontal="center" vertical="center"/>
    </xf>
    <xf numFmtId="0" fontId="35" fillId="12" borderId="1" xfId="0" applyFont="1" applyFill="1" applyBorder="1" applyAlignment="1">
      <alignment horizontal="center" vertical="center" wrapText="1"/>
    </xf>
    <xf numFmtId="0" fontId="56" fillId="12" borderId="38" xfId="0" applyFont="1" applyFill="1" applyBorder="1" applyAlignment="1">
      <alignment horizontal="center" vertical="center" wrapText="1"/>
    </xf>
    <xf numFmtId="0" fontId="56" fillId="12" borderId="39" xfId="0" applyFont="1" applyFill="1" applyBorder="1" applyAlignment="1">
      <alignment horizontal="center" vertical="center" wrapText="1"/>
    </xf>
    <xf numFmtId="0" fontId="56" fillId="12" borderId="40" xfId="0" applyFont="1" applyFill="1" applyBorder="1" applyAlignment="1">
      <alignment horizontal="center" vertical="center" wrapText="1"/>
    </xf>
    <xf numFmtId="0" fontId="56" fillId="12" borderId="41" xfId="0" applyFont="1" applyFill="1" applyBorder="1" applyAlignment="1">
      <alignment horizontal="center" vertical="center" wrapText="1"/>
    </xf>
    <xf numFmtId="0" fontId="27" fillId="12" borderId="66" xfId="0" applyFont="1" applyFill="1" applyBorder="1" applyAlignment="1">
      <alignment horizontal="left" vertical="center" wrapText="1"/>
    </xf>
    <xf numFmtId="0" fontId="30" fillId="13" borderId="60" xfId="0" applyFont="1" applyFill="1" applyBorder="1" applyAlignment="1">
      <alignment horizontal="left" vertical="center" wrapText="1"/>
    </xf>
    <xf numFmtId="0" fontId="30" fillId="13" borderId="52" xfId="0" applyFont="1" applyFill="1" applyBorder="1" applyAlignment="1">
      <alignment horizontal="left" vertical="center" wrapText="1"/>
    </xf>
    <xf numFmtId="0" fontId="30" fillId="13" borderId="52" xfId="0" applyFont="1" applyFill="1" applyBorder="1" applyAlignment="1">
      <alignment horizontal="right" vertical="center" wrapText="1"/>
    </xf>
    <xf numFmtId="0" fontId="55" fillId="13" borderId="52" xfId="0" applyFont="1" applyFill="1" applyBorder="1" applyAlignment="1">
      <alignment horizontal="right" vertical="center" wrapText="1"/>
    </xf>
    <xf numFmtId="0" fontId="31" fillId="13" borderId="7" xfId="0" applyFont="1" applyFill="1" applyBorder="1" applyAlignment="1">
      <alignment horizontal="center" vertical="center" wrapText="1"/>
    </xf>
    <xf numFmtId="0" fontId="27" fillId="12" borderId="66" xfId="0" applyFont="1" applyFill="1" applyBorder="1" applyAlignment="1">
      <alignment horizontal="center" vertical="center" wrapText="1"/>
    </xf>
    <xf numFmtId="0" fontId="27" fillId="12" borderId="67" xfId="0" applyFont="1" applyFill="1" applyBorder="1" applyAlignment="1">
      <alignment horizontal="center" vertical="center" wrapText="1"/>
    </xf>
    <xf numFmtId="0" fontId="52" fillId="13" borderId="6" xfId="0" applyFont="1" applyFill="1" applyBorder="1" applyAlignment="1">
      <alignment horizontal="center" vertical="center" wrapText="1" readingOrder="2"/>
    </xf>
    <xf numFmtId="0" fontId="52" fillId="13" borderId="70" xfId="0" applyFont="1" applyFill="1" applyBorder="1" applyAlignment="1">
      <alignment horizontal="center" vertical="center" wrapText="1" readingOrder="2"/>
    </xf>
    <xf numFmtId="0" fontId="32" fillId="14" borderId="38" xfId="0" applyFont="1" applyFill="1" applyBorder="1" applyAlignment="1">
      <alignment horizontal="center" vertical="center" wrapText="1"/>
    </xf>
    <xf numFmtId="0" fontId="32" fillId="14" borderId="39" xfId="0" applyFont="1" applyFill="1" applyBorder="1" applyAlignment="1">
      <alignment horizontal="center" vertical="center" wrapText="1"/>
    </xf>
    <xf numFmtId="0" fontId="32" fillId="14" borderId="42" xfId="0" applyFont="1" applyFill="1" applyBorder="1" applyAlignment="1">
      <alignment horizontal="center" vertical="center" wrapText="1"/>
    </xf>
    <xf numFmtId="0" fontId="34" fillId="16" borderId="36" xfId="0" applyFont="1" applyFill="1" applyBorder="1" applyAlignment="1">
      <alignment horizontal="center" vertical="center" wrapText="1"/>
    </xf>
    <xf numFmtId="0" fontId="34" fillId="16" borderId="0" xfId="0" applyFont="1" applyFill="1" applyBorder="1" applyAlignment="1">
      <alignment horizontal="center" vertical="center" wrapText="1"/>
    </xf>
    <xf numFmtId="0" fontId="34" fillId="16" borderId="59" xfId="0" applyFont="1" applyFill="1" applyBorder="1" applyAlignment="1">
      <alignment horizontal="center" vertical="center" wrapText="1"/>
    </xf>
    <xf numFmtId="0" fontId="2" fillId="7" borderId="36"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 fillId="7" borderId="59" xfId="0" applyFont="1" applyFill="1" applyBorder="1" applyAlignment="1">
      <alignment horizontal="center" vertical="center" wrapText="1"/>
    </xf>
    <xf numFmtId="0" fontId="35" fillId="12" borderId="31" xfId="0" applyFont="1" applyFill="1" applyBorder="1" applyAlignment="1">
      <alignment horizontal="center" vertical="center" wrapText="1"/>
    </xf>
    <xf numFmtId="0" fontId="38" fillId="7" borderId="1" xfId="0" applyFont="1" applyFill="1" applyBorder="1" applyAlignment="1">
      <alignment horizontal="center" vertical="center" wrapText="1"/>
    </xf>
    <xf numFmtId="0" fontId="38" fillId="7" borderId="5" xfId="0" applyFont="1" applyFill="1" applyBorder="1" applyAlignment="1">
      <alignment horizontal="center" vertical="center" wrapText="1"/>
    </xf>
    <xf numFmtId="3" fontId="39" fillId="7" borderId="9" xfId="0" applyNumberFormat="1" applyFont="1" applyFill="1" applyBorder="1" applyAlignment="1">
      <alignment horizontal="right" vertical="center"/>
    </xf>
    <xf numFmtId="3" fontId="39" fillId="7" borderId="1" xfId="0" applyNumberFormat="1" applyFont="1" applyFill="1" applyBorder="1" applyAlignment="1">
      <alignment horizontal="right" vertical="center"/>
    </xf>
    <xf numFmtId="3" fontId="40" fillId="7" borderId="1" xfId="0" applyNumberFormat="1" applyFont="1" applyFill="1" applyBorder="1" applyAlignment="1">
      <alignment horizontal="center" vertical="center"/>
    </xf>
    <xf numFmtId="3" fontId="40" fillId="7" borderId="32" xfId="0" applyNumberFormat="1" applyFont="1" applyFill="1" applyBorder="1" applyAlignment="1">
      <alignment horizontal="center" vertical="center"/>
    </xf>
    <xf numFmtId="1" fontId="40" fillId="7" borderId="9" xfId="1" applyNumberFormat="1" applyFont="1" applyFill="1" applyBorder="1" applyAlignment="1">
      <alignment horizontal="center" vertical="center"/>
    </xf>
    <xf numFmtId="1" fontId="40" fillId="7" borderId="1" xfId="1" applyNumberFormat="1" applyFont="1" applyFill="1" applyBorder="1" applyAlignment="1">
      <alignment horizontal="center" vertical="center"/>
    </xf>
    <xf numFmtId="0" fontId="41" fillId="17" borderId="33" xfId="0" applyFont="1" applyFill="1" applyBorder="1" applyAlignment="1">
      <alignment horizontal="center" vertical="center" wrapText="1"/>
    </xf>
    <xf numFmtId="0" fontId="38" fillId="17" borderId="1" xfId="0" applyFont="1" applyFill="1" applyBorder="1" applyAlignment="1">
      <alignment horizontal="center" vertical="center" wrapText="1"/>
    </xf>
    <xf numFmtId="0" fontId="38" fillId="17" borderId="5" xfId="0" applyFont="1" applyFill="1" applyBorder="1" applyAlignment="1">
      <alignment horizontal="center" vertical="center" wrapText="1"/>
    </xf>
    <xf numFmtId="3" fontId="40" fillId="2" borderId="9" xfId="0" applyNumberFormat="1" applyFont="1" applyFill="1" applyBorder="1" applyAlignment="1">
      <alignment horizontal="right" vertical="center"/>
    </xf>
    <xf numFmtId="3" fontId="40" fillId="2" borderId="1" xfId="0" applyNumberFormat="1" applyFont="1" applyFill="1" applyBorder="1" applyAlignment="1">
      <alignment horizontal="right" vertical="center"/>
    </xf>
    <xf numFmtId="3" fontId="40" fillId="2" borderId="1" xfId="0" applyNumberFormat="1" applyFont="1" applyFill="1" applyBorder="1" applyAlignment="1">
      <alignment horizontal="center" vertical="center"/>
    </xf>
    <xf numFmtId="3" fontId="40" fillId="2" borderId="32" xfId="0" applyNumberFormat="1" applyFont="1" applyFill="1" applyBorder="1" applyAlignment="1">
      <alignment horizontal="center" vertical="center"/>
    </xf>
    <xf numFmtId="1" fontId="40" fillId="2" borderId="9" xfId="3" applyNumberFormat="1" applyFont="1" applyFill="1" applyBorder="1" applyAlignment="1">
      <alignment horizontal="center" vertical="center"/>
    </xf>
    <xf numFmtId="1" fontId="40" fillId="2" borderId="1" xfId="3" applyNumberFormat="1" applyFont="1" applyFill="1" applyBorder="1" applyAlignment="1">
      <alignment horizontal="center" vertical="center"/>
    </xf>
    <xf numFmtId="3" fontId="40" fillId="7" borderId="9" xfId="0" applyNumberFormat="1" applyFont="1" applyFill="1" applyBorder="1" applyAlignment="1">
      <alignment horizontal="right" vertical="center"/>
    </xf>
    <xf numFmtId="3" fontId="40" fillId="7" borderId="1" xfId="0" applyNumberFormat="1" applyFont="1" applyFill="1" applyBorder="1" applyAlignment="1">
      <alignment horizontal="right" vertical="center"/>
    </xf>
    <xf numFmtId="1" fontId="23" fillId="2" borderId="9" xfId="1" applyNumberFormat="1" applyFont="1" applyFill="1" applyBorder="1" applyAlignment="1">
      <alignment horizontal="center" vertical="center"/>
    </xf>
    <xf numFmtId="1" fontId="23" fillId="2" borderId="1" xfId="1" applyNumberFormat="1" applyFont="1" applyFill="1" applyBorder="1" applyAlignment="1">
      <alignment horizontal="center" vertical="center"/>
    </xf>
    <xf numFmtId="1" fontId="23" fillId="7" borderId="9" xfId="2" applyNumberFormat="1" applyFont="1" applyFill="1" applyBorder="1" applyAlignment="1">
      <alignment horizontal="center" vertical="center"/>
    </xf>
    <xf numFmtId="1" fontId="23" fillId="7" borderId="1" xfId="2" applyNumberFormat="1" applyFont="1" applyFill="1" applyBorder="1" applyAlignment="1">
      <alignment horizontal="center" vertical="center"/>
    </xf>
    <xf numFmtId="1" fontId="40" fillId="2" borderId="1" xfId="2" applyNumberFormat="1" applyFont="1" applyFill="1" applyBorder="1" applyAlignment="1">
      <alignment horizontal="center" vertical="center"/>
    </xf>
    <xf numFmtId="0" fontId="41" fillId="12" borderId="1" xfId="0" applyFont="1" applyFill="1" applyBorder="1" applyAlignment="1">
      <alignment horizontal="center" vertical="center" wrapText="1"/>
    </xf>
    <xf numFmtId="0" fontId="41" fillId="12" borderId="5" xfId="0" applyFont="1" applyFill="1" applyBorder="1" applyAlignment="1">
      <alignment horizontal="center" vertical="center" wrapText="1"/>
    </xf>
    <xf numFmtId="1" fontId="72" fillId="2" borderId="9" xfId="2" applyNumberFormat="1" applyFont="1" applyFill="1" applyBorder="1" applyAlignment="1">
      <alignment horizontal="center" vertical="center"/>
    </xf>
    <xf numFmtId="1" fontId="72" fillId="2" borderId="1" xfId="2" applyNumberFormat="1" applyFont="1" applyFill="1" applyBorder="1" applyAlignment="1">
      <alignment horizontal="center" vertical="center"/>
    </xf>
    <xf numFmtId="0" fontId="53" fillId="13" borderId="52" xfId="0" applyFont="1" applyFill="1" applyBorder="1" applyAlignment="1">
      <alignment horizontal="left" vertical="center" wrapText="1"/>
    </xf>
    <xf numFmtId="0" fontId="41" fillId="7" borderId="61" xfId="0" applyFont="1" applyFill="1" applyBorder="1" applyAlignment="1">
      <alignment horizontal="center" vertical="center" wrapText="1"/>
    </xf>
    <xf numFmtId="0" fontId="41" fillId="7" borderId="0" xfId="0" applyFont="1" applyFill="1" applyBorder="1" applyAlignment="1">
      <alignment horizontal="center" vertical="center" wrapText="1"/>
    </xf>
    <xf numFmtId="0" fontId="41" fillId="7" borderId="37" xfId="0" applyFont="1" applyFill="1" applyBorder="1" applyAlignment="1">
      <alignment horizontal="center" vertical="center" wrapText="1"/>
    </xf>
    <xf numFmtId="37" fontId="57" fillId="7" borderId="36" xfId="0" applyNumberFormat="1" applyFont="1" applyFill="1" applyBorder="1" applyAlignment="1">
      <alignment horizontal="right" vertical="center"/>
    </xf>
    <xf numFmtId="37" fontId="57" fillId="7" borderId="0" xfId="0" applyNumberFormat="1" applyFont="1" applyFill="1" applyBorder="1" applyAlignment="1">
      <alignment horizontal="right" vertical="center"/>
    </xf>
    <xf numFmtId="49" fontId="11" fillId="10" borderId="32" xfId="5" applyNumberFormat="1" applyFont="1" applyFill="1" applyBorder="1" applyAlignment="1">
      <alignment horizontal="center" vertical="center" wrapText="1" readingOrder="2"/>
    </xf>
    <xf numFmtId="49" fontId="11" fillId="10" borderId="29" xfId="5" applyNumberFormat="1" applyFont="1" applyFill="1" applyBorder="1" applyAlignment="1">
      <alignment horizontal="center" vertical="center" wrapText="1" readingOrder="2"/>
    </xf>
    <xf numFmtId="3" fontId="45" fillId="7" borderId="32" xfId="5" applyNumberFormat="1" applyFont="1" applyFill="1" applyBorder="1" applyAlignment="1">
      <alignment horizontal="center" vertical="center" wrapText="1"/>
    </xf>
    <xf numFmtId="3" fontId="45" fillId="7" borderId="29" xfId="5" applyNumberFormat="1" applyFont="1" applyFill="1" applyBorder="1" applyAlignment="1">
      <alignment horizontal="center" vertical="center" wrapText="1"/>
    </xf>
    <xf numFmtId="3" fontId="49" fillId="7" borderId="32" xfId="5" applyNumberFormat="1" applyFont="1" applyFill="1" applyBorder="1" applyAlignment="1">
      <alignment horizontal="center" vertical="center" wrapText="1"/>
    </xf>
    <xf numFmtId="3" fontId="49" fillId="7" borderId="29" xfId="5" applyNumberFormat="1" applyFont="1" applyFill="1" applyBorder="1" applyAlignment="1">
      <alignment horizontal="center" vertical="center" wrapText="1"/>
    </xf>
    <xf numFmtId="3" fontId="45" fillId="7" borderId="32" xfId="5" applyNumberFormat="1" applyFont="1" applyFill="1" applyBorder="1" applyAlignment="1">
      <alignment horizontal="right" vertical="center" wrapText="1"/>
    </xf>
    <xf numFmtId="3" fontId="45" fillId="7" borderId="29" xfId="5" applyNumberFormat="1" applyFont="1" applyFill="1" applyBorder="1" applyAlignment="1">
      <alignment horizontal="right" vertical="center" wrapText="1"/>
    </xf>
    <xf numFmtId="0" fontId="12" fillId="12" borderId="20" xfId="4" applyFont="1" applyFill="1" applyBorder="1" applyAlignment="1">
      <alignment horizontal="center" vertical="center" wrapText="1"/>
    </xf>
    <xf numFmtId="0" fontId="13" fillId="12" borderId="20" xfId="4" applyFont="1" applyFill="1" applyBorder="1" applyAlignment="1">
      <alignment horizontal="center" vertical="center" wrapText="1"/>
    </xf>
    <xf numFmtId="0" fontId="42" fillId="12" borderId="20" xfId="0" applyFont="1" applyFill="1" applyBorder="1" applyAlignment="1">
      <alignment horizontal="center" vertical="center" wrapText="1"/>
    </xf>
    <xf numFmtId="0" fontId="41" fillId="18" borderId="1" xfId="0" applyFont="1" applyFill="1" applyBorder="1" applyAlignment="1">
      <alignment horizontal="center" vertical="center" wrapText="1"/>
    </xf>
    <xf numFmtId="0" fontId="41" fillId="18" borderId="5" xfId="0" applyFont="1" applyFill="1" applyBorder="1" applyAlignment="1">
      <alignment horizontal="center" vertical="center" wrapText="1"/>
    </xf>
    <xf numFmtId="1" fontId="40" fillId="2" borderId="9" xfId="2" applyNumberFormat="1" applyFont="1" applyFill="1" applyBorder="1" applyAlignment="1">
      <alignment horizontal="center" vertical="center"/>
    </xf>
    <xf numFmtId="0" fontId="0" fillId="0" borderId="9" xfId="0" applyBorder="1" applyAlignment="1">
      <alignment horizontal="center" vertical="center" wrapText="1"/>
    </xf>
    <xf numFmtId="0" fontId="0" fillId="0" borderId="9" xfId="0" applyBorder="1" applyAlignment="1">
      <alignment horizontal="center" vertical="center"/>
    </xf>
    <xf numFmtId="0" fontId="0" fillId="15" borderId="5" xfId="0"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0" xfId="0" applyBorder="1" applyAlignment="1">
      <alignment horizontal="center" vertical="center" wrapText="1"/>
    </xf>
    <xf numFmtId="0" fontId="58" fillId="7" borderId="1" xfId="0" applyFont="1" applyFill="1" applyBorder="1" applyAlignment="1">
      <alignment horizontal="center" vertical="center"/>
    </xf>
    <xf numFmtId="0" fontId="58" fillId="7" borderId="6" xfId="0" applyFont="1" applyFill="1" applyBorder="1" applyAlignment="1">
      <alignment horizontal="center" vertical="center"/>
    </xf>
    <xf numFmtId="0" fontId="70" fillId="7" borderId="6" xfId="0" applyFont="1" applyFill="1" applyBorder="1" applyAlignment="1">
      <alignment horizontal="center" vertical="center"/>
    </xf>
    <xf numFmtId="0" fontId="63" fillId="7" borderId="6" xfId="0" applyFont="1" applyFill="1" applyBorder="1" applyAlignment="1">
      <alignment horizontal="center" vertical="center"/>
    </xf>
    <xf numFmtId="0" fontId="16" fillId="0" borderId="30" xfId="0" applyFont="1" applyBorder="1" applyAlignment="1">
      <alignment horizontal="center" vertical="center" wrapText="1" readingOrder="2"/>
    </xf>
    <xf numFmtId="0" fontId="16" fillId="0" borderId="52" xfId="0" applyFont="1" applyBorder="1" applyAlignment="1">
      <alignment horizontal="center" vertical="center" wrapText="1" readingOrder="2"/>
    </xf>
    <xf numFmtId="0" fontId="16" fillId="0" borderId="35" xfId="0" applyFont="1" applyBorder="1" applyAlignment="1">
      <alignment horizontal="center" vertical="center" wrapText="1" readingOrder="2"/>
    </xf>
    <xf numFmtId="0" fontId="16" fillId="0" borderId="36" xfId="0" applyFont="1" applyBorder="1" applyAlignment="1">
      <alignment horizontal="center" vertical="center" wrapText="1" readingOrder="2"/>
    </xf>
    <xf numFmtId="0" fontId="16" fillId="0" borderId="0" xfId="0" applyFont="1" applyBorder="1" applyAlignment="1">
      <alignment horizontal="center" vertical="center" wrapText="1" readingOrder="2"/>
    </xf>
    <xf numFmtId="0" fontId="16" fillId="0" borderId="37" xfId="0" applyFont="1" applyBorder="1" applyAlignment="1">
      <alignment horizontal="center" vertical="center" wrapText="1" readingOrder="2"/>
    </xf>
    <xf numFmtId="0" fontId="16" fillId="0" borderId="27" xfId="0" applyFont="1" applyBorder="1" applyAlignment="1">
      <alignment horizontal="center" vertical="center" wrapText="1" readingOrder="2"/>
    </xf>
    <xf numFmtId="0" fontId="16" fillId="0" borderId="53" xfId="0" applyFont="1" applyBorder="1" applyAlignment="1">
      <alignment horizontal="center" vertical="center" wrapText="1" readingOrder="2"/>
    </xf>
    <xf numFmtId="0" fontId="16" fillId="0" borderId="26" xfId="0" applyFont="1" applyBorder="1" applyAlignment="1">
      <alignment horizontal="center" vertical="center" wrapText="1" readingOrder="2"/>
    </xf>
    <xf numFmtId="0" fontId="0" fillId="0" borderId="35" xfId="0" applyBorder="1" applyAlignment="1">
      <alignment horizontal="center" vertical="center"/>
    </xf>
    <xf numFmtId="0" fontId="0" fillId="0" borderId="37" xfId="0" applyBorder="1" applyAlignment="1">
      <alignment horizontal="center" vertical="center"/>
    </xf>
    <xf numFmtId="0" fontId="0" fillId="0" borderId="26" xfId="0" applyBorder="1" applyAlignment="1">
      <alignment horizontal="center" vertical="center"/>
    </xf>
    <xf numFmtId="1" fontId="54" fillId="0" borderId="6" xfId="0" applyNumberFormat="1" applyFont="1" applyBorder="1" applyAlignment="1">
      <alignment horizontal="center" vertical="center"/>
    </xf>
    <xf numFmtId="1" fontId="54" fillId="0" borderId="7" xfId="0" applyNumberFormat="1" applyFont="1" applyBorder="1" applyAlignment="1">
      <alignment horizontal="center" vertical="center"/>
    </xf>
    <xf numFmtId="1" fontId="54" fillId="0" borderId="20" xfId="0" applyNumberFormat="1" applyFont="1" applyBorder="1" applyAlignment="1">
      <alignment horizontal="center" vertical="center"/>
    </xf>
    <xf numFmtId="1" fontId="46" fillId="7" borderId="1" xfId="5" applyNumberFormat="1" applyFont="1" applyFill="1" applyBorder="1" applyAlignment="1">
      <alignment horizontal="center" vertical="center" wrapText="1" readingOrder="2"/>
    </xf>
    <xf numFmtId="0" fontId="47" fillId="10" borderId="1" xfId="0" applyFont="1" applyFill="1" applyBorder="1" applyAlignment="1">
      <alignment horizontal="center" vertical="center" wrapText="1"/>
    </xf>
    <xf numFmtId="0" fontId="35" fillId="19" borderId="60" xfId="0" applyFont="1" applyFill="1" applyBorder="1" applyAlignment="1">
      <alignment horizontal="center" vertical="center" wrapText="1"/>
    </xf>
    <xf numFmtId="0" fontId="35" fillId="19" borderId="52" xfId="0" applyFont="1" applyFill="1" applyBorder="1" applyAlignment="1">
      <alignment horizontal="center" vertical="center" wrapText="1"/>
    </xf>
    <xf numFmtId="0" fontId="35" fillId="19" borderId="35" xfId="0" applyFont="1" applyFill="1" applyBorder="1" applyAlignment="1">
      <alignment horizontal="center" vertical="center" wrapText="1"/>
    </xf>
    <xf numFmtId="0" fontId="15" fillId="12" borderId="77" xfId="4" applyFont="1" applyFill="1" applyBorder="1" applyAlignment="1">
      <alignment horizontal="center" vertical="center" wrapText="1"/>
    </xf>
    <xf numFmtId="0" fontId="15" fillId="12" borderId="79" xfId="4" applyFont="1" applyFill="1" applyBorder="1" applyAlignment="1">
      <alignment horizontal="center" vertical="center" wrapText="1"/>
    </xf>
    <xf numFmtId="1" fontId="46" fillId="7" borderId="6" xfId="5" applyNumberFormat="1" applyFont="1" applyFill="1" applyBorder="1" applyAlignment="1">
      <alignment horizontal="center" vertical="center" wrapText="1" readingOrder="2"/>
    </xf>
    <xf numFmtId="1" fontId="46" fillId="7" borderId="7" xfId="5" applyNumberFormat="1" applyFont="1" applyFill="1" applyBorder="1" applyAlignment="1">
      <alignment horizontal="center" vertical="center" wrapText="1" readingOrder="2"/>
    </xf>
    <xf numFmtId="1" fontId="46" fillId="7" borderId="20" xfId="5" applyNumberFormat="1" applyFont="1" applyFill="1" applyBorder="1" applyAlignment="1">
      <alignment horizontal="center" vertical="center" wrapText="1" readingOrder="2"/>
    </xf>
    <xf numFmtId="0" fontId="47" fillId="10" borderId="30" xfId="0" applyFont="1" applyFill="1" applyBorder="1" applyAlignment="1">
      <alignment horizontal="center" vertical="center" wrapText="1"/>
    </xf>
    <xf numFmtId="0" fontId="47" fillId="10" borderId="52" xfId="0" applyFont="1" applyFill="1" applyBorder="1" applyAlignment="1">
      <alignment horizontal="center" vertical="center" wrapText="1"/>
    </xf>
    <xf numFmtId="0" fontId="47" fillId="10" borderId="35" xfId="0" applyFont="1" applyFill="1" applyBorder="1" applyAlignment="1">
      <alignment horizontal="center" vertical="center" wrapText="1"/>
    </xf>
    <xf numFmtId="0" fontId="47" fillId="10" borderId="36" xfId="0" applyFont="1" applyFill="1" applyBorder="1" applyAlignment="1">
      <alignment horizontal="center" vertical="center" wrapText="1"/>
    </xf>
    <xf numFmtId="0" fontId="47" fillId="10" borderId="0" xfId="0" applyFont="1" applyFill="1" applyBorder="1" applyAlignment="1">
      <alignment horizontal="center" vertical="center" wrapText="1"/>
    </xf>
    <xf numFmtId="0" fontId="47" fillId="10" borderId="37" xfId="0" applyFont="1" applyFill="1" applyBorder="1" applyAlignment="1">
      <alignment horizontal="center" vertical="center" wrapText="1"/>
    </xf>
    <xf numFmtId="0" fontId="47" fillId="10" borderId="27" xfId="0" applyFont="1" applyFill="1" applyBorder="1" applyAlignment="1">
      <alignment horizontal="center" vertical="center" wrapText="1"/>
    </xf>
    <xf numFmtId="0" fontId="47" fillId="10" borderId="53" xfId="0" applyFont="1" applyFill="1" applyBorder="1" applyAlignment="1">
      <alignment horizontal="center" vertical="center" wrapText="1"/>
    </xf>
    <xf numFmtId="0" fontId="47" fillId="10" borderId="26" xfId="0" applyFont="1" applyFill="1" applyBorder="1" applyAlignment="1">
      <alignment horizontal="center" vertical="center" wrapText="1"/>
    </xf>
    <xf numFmtId="0" fontId="44" fillId="0" borderId="33" xfId="0" applyFont="1" applyBorder="1" applyAlignment="1">
      <alignment horizontal="center" vertical="center"/>
    </xf>
    <xf numFmtId="0" fontId="11" fillId="12" borderId="20" xfId="4" applyFont="1" applyFill="1" applyBorder="1" applyAlignment="1">
      <alignment horizontal="center" vertical="center" wrapText="1"/>
    </xf>
    <xf numFmtId="0" fontId="44" fillId="0" borderId="77" xfId="0" applyFont="1" applyBorder="1" applyAlignment="1">
      <alignment horizontal="center" vertical="center"/>
    </xf>
    <xf numFmtId="0" fontId="44" fillId="0" borderId="78" xfId="0" applyFont="1" applyBorder="1" applyAlignment="1">
      <alignment horizontal="center" vertical="center"/>
    </xf>
    <xf numFmtId="0" fontId="44" fillId="0" borderId="79" xfId="0" applyFont="1" applyBorder="1" applyAlignment="1">
      <alignment horizontal="center" vertical="center"/>
    </xf>
    <xf numFmtId="0" fontId="71" fillId="12" borderId="32" xfId="0" applyFont="1" applyFill="1" applyBorder="1" applyAlignment="1">
      <alignment horizontal="center" vertical="center" wrapText="1"/>
    </xf>
    <xf numFmtId="0" fontId="71" fillId="12" borderId="51" xfId="0" applyFont="1" applyFill="1" applyBorder="1" applyAlignment="1">
      <alignment horizontal="center" vertical="center" wrapText="1"/>
    </xf>
    <xf numFmtId="0" fontId="71" fillId="12" borderId="29" xfId="0" applyFont="1" applyFill="1" applyBorder="1" applyAlignment="1">
      <alignment horizontal="center" vertical="center" wrapText="1"/>
    </xf>
    <xf numFmtId="0" fontId="54" fillId="12" borderId="32" xfId="0" applyFont="1" applyFill="1" applyBorder="1" applyAlignment="1">
      <alignment horizontal="center" vertical="center"/>
    </xf>
    <xf numFmtId="0" fontId="54" fillId="12" borderId="29" xfId="0" applyFont="1" applyFill="1" applyBorder="1" applyAlignment="1">
      <alignment horizontal="center" vertical="center"/>
    </xf>
    <xf numFmtId="0" fontId="0" fillId="12" borderId="32" xfId="0" applyFont="1" applyFill="1" applyBorder="1" applyAlignment="1">
      <alignment horizontal="center" vertical="center" wrapText="1"/>
    </xf>
    <xf numFmtId="0" fontId="0" fillId="12" borderId="29" xfId="0" applyFont="1" applyFill="1" applyBorder="1" applyAlignment="1">
      <alignment horizontal="center" vertical="center" wrapText="1"/>
    </xf>
    <xf numFmtId="3" fontId="45" fillId="7" borderId="1" xfId="5" applyNumberFormat="1" applyFont="1" applyFill="1" applyBorder="1" applyAlignment="1">
      <alignment horizontal="right" vertical="center" wrapText="1"/>
    </xf>
    <xf numFmtId="49" fontId="11" fillId="10" borderId="1" xfId="5" applyNumberFormat="1" applyFont="1" applyFill="1" applyBorder="1" applyAlignment="1">
      <alignment horizontal="center" vertical="center" wrapText="1" readingOrder="2"/>
    </xf>
    <xf numFmtId="3" fontId="49" fillId="7" borderId="1" xfId="5" applyNumberFormat="1" applyFont="1" applyFill="1" applyBorder="1" applyAlignment="1">
      <alignment horizontal="center" vertical="center" wrapText="1"/>
    </xf>
    <xf numFmtId="0" fontId="16" fillId="0" borderId="1" xfId="0" applyFont="1" applyBorder="1" applyAlignment="1">
      <alignment horizontal="center" vertical="center" wrapText="1" readingOrder="2"/>
    </xf>
    <xf numFmtId="0" fontId="44" fillId="0" borderId="68" xfId="0" applyFont="1" applyBorder="1" applyAlignment="1">
      <alignment horizontal="center" vertical="center"/>
    </xf>
    <xf numFmtId="0" fontId="16" fillId="0" borderId="63" xfId="0" applyFont="1" applyBorder="1" applyAlignment="1">
      <alignment horizontal="center" vertical="center" wrapText="1" readingOrder="2"/>
    </xf>
    <xf numFmtId="0" fontId="0" fillId="0" borderId="49" xfId="0" applyBorder="1" applyAlignment="1">
      <alignment horizontal="center" vertical="center"/>
    </xf>
    <xf numFmtId="0" fontId="0" fillId="0" borderId="34" xfId="0" applyBorder="1" applyAlignment="1">
      <alignment horizontal="center" vertical="center"/>
    </xf>
    <xf numFmtId="1" fontId="54" fillId="0" borderId="83" xfId="0" applyNumberFormat="1" applyFont="1" applyBorder="1" applyAlignment="1">
      <alignment horizontal="center" vertical="center"/>
    </xf>
    <xf numFmtId="1" fontId="46" fillId="7" borderId="63" xfId="5" applyNumberFormat="1" applyFont="1" applyFill="1" applyBorder="1" applyAlignment="1">
      <alignment horizontal="center" vertical="center" wrapText="1" readingOrder="2"/>
    </xf>
    <xf numFmtId="0" fontId="47" fillId="10" borderId="63" xfId="0" applyFont="1" applyFill="1" applyBorder="1" applyAlignment="1">
      <alignment horizontal="center" vertical="center" wrapText="1"/>
    </xf>
    <xf numFmtId="0" fontId="0" fillId="0" borderId="83" xfId="0" applyBorder="1" applyAlignment="1">
      <alignment horizontal="center" vertical="center"/>
    </xf>
    <xf numFmtId="49" fontId="11" fillId="10" borderId="63" xfId="5" applyNumberFormat="1" applyFont="1" applyFill="1" applyBorder="1" applyAlignment="1">
      <alignment horizontal="center" vertical="center" wrapText="1" readingOrder="2"/>
    </xf>
    <xf numFmtId="3" fontId="45" fillId="7" borderId="44" xfId="5" applyNumberFormat="1" applyFont="1" applyFill="1" applyBorder="1" applyAlignment="1">
      <alignment horizontal="center" vertical="center" wrapText="1"/>
    </xf>
    <xf numFmtId="3" fontId="45" fillId="7" borderId="76" xfId="5" applyNumberFormat="1" applyFont="1" applyFill="1" applyBorder="1" applyAlignment="1">
      <alignment horizontal="center" vertical="center" wrapText="1"/>
    </xf>
    <xf numFmtId="3" fontId="49" fillId="7" borderId="63" xfId="5" applyNumberFormat="1" applyFont="1" applyFill="1" applyBorder="1" applyAlignment="1">
      <alignment horizontal="center" vertical="center" wrapText="1"/>
    </xf>
    <xf numFmtId="0" fontId="0" fillId="0" borderId="48" xfId="0" applyBorder="1" applyAlignment="1">
      <alignment horizontal="center" vertical="center"/>
    </xf>
    <xf numFmtId="0" fontId="0" fillId="0" borderId="50" xfId="0" applyBorder="1" applyAlignment="1">
      <alignment horizontal="center" vertical="center"/>
    </xf>
    <xf numFmtId="1" fontId="54" fillId="0" borderId="12" xfId="0" applyNumberFormat="1" applyFont="1" applyBorder="1" applyAlignment="1">
      <alignment horizontal="center" vertical="center" wrapText="1"/>
    </xf>
    <xf numFmtId="1" fontId="54" fillId="2" borderId="1" xfId="0" applyNumberFormat="1" applyFont="1" applyFill="1" applyBorder="1" applyAlignment="1">
      <alignment horizontal="center" vertical="center" wrapText="1"/>
    </xf>
    <xf numFmtId="0" fontId="32" fillId="19" borderId="2" xfId="0" applyFont="1" applyFill="1" applyBorder="1" applyAlignment="1">
      <alignment horizontal="center" vertical="center" wrapText="1"/>
    </xf>
    <xf numFmtId="0" fontId="32" fillId="19" borderId="3" xfId="0" applyFont="1" applyFill="1" applyBorder="1" applyAlignment="1">
      <alignment horizontal="center" vertical="center" wrapText="1"/>
    </xf>
    <xf numFmtId="0" fontId="32" fillId="19" borderId="28" xfId="0" applyFont="1" applyFill="1" applyBorder="1" applyAlignment="1">
      <alignment horizontal="center" vertical="center" wrapText="1"/>
    </xf>
    <xf numFmtId="0" fontId="44" fillId="0" borderId="1" xfId="0" applyFont="1" applyBorder="1" applyAlignment="1">
      <alignment horizontal="right" vertical="center" wrapText="1"/>
    </xf>
    <xf numFmtId="0" fontId="44" fillId="0" borderId="86" xfId="0" applyFont="1" applyBorder="1" applyAlignment="1">
      <alignment horizontal="center"/>
    </xf>
    <xf numFmtId="0" fontId="44" fillId="0" borderId="51" xfId="0" applyFont="1" applyBorder="1" applyAlignment="1">
      <alignment horizontal="center"/>
    </xf>
    <xf numFmtId="0" fontId="44" fillId="0" borderId="62" xfId="0" applyFont="1" applyBorder="1" applyAlignment="1">
      <alignment horizontal="center"/>
    </xf>
    <xf numFmtId="0" fontId="89" fillId="14" borderId="38" xfId="0" applyFont="1" applyFill="1" applyBorder="1" applyAlignment="1">
      <alignment horizontal="center" vertical="center" wrapText="1"/>
    </xf>
    <xf numFmtId="0" fontId="89" fillId="14" borderId="39" xfId="0" applyFont="1" applyFill="1" applyBorder="1" applyAlignment="1">
      <alignment horizontal="center" vertical="center" wrapText="1"/>
    </xf>
    <xf numFmtId="0" fontId="89" fillId="14" borderId="42" xfId="0" applyFont="1" applyFill="1" applyBorder="1" applyAlignment="1">
      <alignment horizontal="center" vertical="center" wrapText="1"/>
    </xf>
    <xf numFmtId="0" fontId="68" fillId="3" borderId="1" xfId="0" applyFont="1" applyFill="1" applyBorder="1" applyAlignment="1">
      <alignment horizontal="center" vertical="center" wrapText="1"/>
    </xf>
    <xf numFmtId="0" fontId="44" fillId="3" borderId="12" xfId="0" applyFont="1" applyFill="1" applyBorder="1" applyAlignment="1">
      <alignment horizontal="center" vertical="center" wrapText="1"/>
    </xf>
    <xf numFmtId="0" fontId="44" fillId="3" borderId="75" xfId="0" applyFont="1" applyFill="1" applyBorder="1" applyAlignment="1">
      <alignment horizontal="center" vertical="center" wrapText="1"/>
    </xf>
    <xf numFmtId="1" fontId="60" fillId="2" borderId="1" xfId="0" applyNumberFormat="1" applyFont="1" applyFill="1" applyBorder="1" applyAlignment="1">
      <alignment horizontal="center" vertical="center"/>
    </xf>
    <xf numFmtId="1" fontId="60" fillId="2" borderId="5" xfId="0" applyNumberFormat="1" applyFont="1" applyFill="1" applyBorder="1" applyAlignment="1">
      <alignment horizontal="center" vertical="center"/>
    </xf>
    <xf numFmtId="1" fontId="67" fillId="7" borderId="12" xfId="0" applyNumberFormat="1" applyFont="1" applyFill="1" applyBorder="1" applyAlignment="1">
      <alignment horizontal="center" vertical="center"/>
    </xf>
    <xf numFmtId="1" fontId="67" fillId="7" borderId="85" xfId="0" applyNumberFormat="1" applyFont="1" applyFill="1" applyBorder="1" applyAlignment="1">
      <alignment horizontal="center" vertical="center"/>
    </xf>
    <xf numFmtId="0" fontId="44" fillId="3" borderId="1" xfId="0" applyFont="1" applyFill="1" applyBorder="1" applyAlignment="1">
      <alignment horizontal="center" vertical="center" wrapText="1"/>
    </xf>
    <xf numFmtId="0" fontId="63" fillId="0" borderId="1" xfId="0" applyFont="1" applyBorder="1" applyAlignment="1">
      <alignment horizontal="center" vertical="center" wrapText="1"/>
    </xf>
    <xf numFmtId="1" fontId="44" fillId="12" borderId="1" xfId="0" applyNumberFormat="1" applyFont="1" applyFill="1" applyBorder="1" applyAlignment="1">
      <alignment horizontal="center" vertical="center" wrapText="1"/>
    </xf>
    <xf numFmtId="1" fontId="44" fillId="12" borderId="5" xfId="0" applyNumberFormat="1" applyFont="1" applyFill="1" applyBorder="1" applyAlignment="1">
      <alignment horizontal="center" vertical="center" wrapText="1"/>
    </xf>
    <xf numFmtId="1" fontId="59" fillId="0" borderId="1" xfId="0" applyNumberFormat="1" applyFont="1" applyBorder="1" applyAlignment="1">
      <alignment horizontal="center" vertical="center" wrapText="1"/>
    </xf>
    <xf numFmtId="1" fontId="59" fillId="2" borderId="1" xfId="0" applyNumberFormat="1" applyFont="1" applyFill="1" applyBorder="1" applyAlignment="1">
      <alignment horizontal="center" vertical="center" wrapText="1"/>
    </xf>
    <xf numFmtId="0" fontId="63" fillId="0" borderId="1" xfId="0" applyFont="1" applyBorder="1" applyAlignment="1">
      <alignment horizontal="right" vertical="center" wrapText="1"/>
    </xf>
    <xf numFmtId="0" fontId="68" fillId="0" borderId="1" xfId="0" applyFont="1" applyBorder="1" applyAlignment="1">
      <alignment horizontal="right" vertical="center" wrapText="1"/>
    </xf>
    <xf numFmtId="0" fontId="68" fillId="0" borderId="63" xfId="0" applyFont="1" applyBorder="1" applyAlignment="1">
      <alignment horizontal="right" vertical="center" wrapText="1"/>
    </xf>
    <xf numFmtId="0" fontId="63" fillId="0" borderId="63" xfId="0" applyFont="1" applyBorder="1" applyAlignment="1">
      <alignment horizontal="center" vertical="center" wrapText="1"/>
    </xf>
    <xf numFmtId="1" fontId="54" fillId="0" borderId="1" xfId="0" applyNumberFormat="1" applyFont="1" applyBorder="1" applyAlignment="1">
      <alignment horizontal="center" vertical="center" wrapText="1"/>
    </xf>
    <xf numFmtId="0" fontId="33" fillId="0" borderId="48" xfId="0" applyFont="1" applyBorder="1" applyAlignment="1">
      <alignment horizontal="right" vertical="center" wrapText="1"/>
    </xf>
    <xf numFmtId="0" fontId="33" fillId="0" borderId="87" xfId="0" applyFont="1" applyBorder="1" applyAlignment="1">
      <alignment horizontal="right" vertical="center" wrapText="1"/>
    </xf>
    <xf numFmtId="0" fontId="63" fillId="0" borderId="63" xfId="0" applyFont="1" applyBorder="1" applyAlignment="1">
      <alignment horizontal="right" vertical="center" wrapText="1"/>
    </xf>
    <xf numFmtId="1" fontId="59" fillId="0" borderId="12" xfId="0" applyNumberFormat="1" applyFont="1" applyBorder="1" applyAlignment="1">
      <alignment horizontal="center" vertical="center" wrapText="1"/>
    </xf>
    <xf numFmtId="1" fontId="68" fillId="28" borderId="1" xfId="0" applyNumberFormat="1" applyFont="1" applyFill="1" applyBorder="1" applyAlignment="1">
      <alignment horizontal="center" vertical="center" wrapText="1"/>
    </xf>
    <xf numFmtId="1" fontId="44" fillId="28" borderId="1" xfId="0" applyNumberFormat="1" applyFont="1" applyFill="1" applyBorder="1" applyAlignment="1">
      <alignment horizontal="center" vertical="center" wrapText="1"/>
    </xf>
    <xf numFmtId="0" fontId="80" fillId="22" borderId="33" xfId="0" applyFont="1" applyFill="1" applyBorder="1" applyAlignment="1">
      <alignment horizontal="center" vertical="center" wrapText="1" readingOrder="2"/>
    </xf>
    <xf numFmtId="0" fontId="80" fillId="22" borderId="1" xfId="0" applyFont="1" applyFill="1" applyBorder="1" applyAlignment="1">
      <alignment horizontal="center" vertical="center" wrapText="1" readingOrder="2"/>
    </xf>
    <xf numFmtId="0" fontId="80" fillId="22" borderId="32" xfId="0" applyFont="1" applyFill="1" applyBorder="1" applyAlignment="1">
      <alignment horizontal="center" vertical="center" wrapText="1" readingOrder="2"/>
    </xf>
    <xf numFmtId="0" fontId="33" fillId="0" borderId="88" xfId="0" applyFont="1" applyBorder="1" applyAlignment="1">
      <alignment horizontal="center" vertical="center" wrapText="1"/>
    </xf>
    <xf numFmtId="0" fontId="33" fillId="0" borderId="43" xfId="0" applyFont="1" applyBorder="1" applyAlignment="1">
      <alignment horizontal="center" vertical="center" wrapText="1"/>
    </xf>
    <xf numFmtId="0" fontId="33" fillId="0" borderId="45" xfId="0" applyFont="1" applyBorder="1" applyAlignment="1">
      <alignment horizontal="center" vertical="center" wrapText="1"/>
    </xf>
    <xf numFmtId="0" fontId="92" fillId="8" borderId="48" xfId="0" applyFont="1" applyFill="1" applyBorder="1" applyAlignment="1">
      <alignment horizontal="center"/>
    </xf>
    <xf numFmtId="0" fontId="32" fillId="14" borderId="61" xfId="0" applyFont="1" applyFill="1" applyBorder="1" applyAlignment="1">
      <alignment horizontal="center" vertical="center" wrapText="1"/>
    </xf>
    <xf numFmtId="0" fontId="32" fillId="14" borderId="0" xfId="0" applyFont="1" applyFill="1" applyBorder="1" applyAlignment="1">
      <alignment horizontal="center" vertical="center" wrapText="1"/>
    </xf>
    <xf numFmtId="0" fontId="32" fillId="14" borderId="59" xfId="0" applyFont="1" applyFill="1" applyBorder="1" applyAlignment="1">
      <alignment horizontal="center" vertical="center" wrapText="1"/>
    </xf>
    <xf numFmtId="3" fontId="54" fillId="0" borderId="1" xfId="0" applyNumberFormat="1" applyFont="1" applyBorder="1" applyAlignment="1">
      <alignment horizontal="center" vertical="center" wrapText="1"/>
    </xf>
    <xf numFmtId="3" fontId="54" fillId="0" borderId="5" xfId="0" applyNumberFormat="1" applyFont="1" applyBorder="1" applyAlignment="1">
      <alignment horizontal="center" vertical="center" wrapText="1"/>
    </xf>
    <xf numFmtId="37" fontId="44" fillId="0" borderId="9" xfId="0" applyNumberFormat="1" applyFont="1" applyBorder="1" applyAlignment="1">
      <alignment horizontal="center"/>
    </xf>
    <xf numFmtId="1" fontId="34" fillId="12" borderId="2" xfId="0" applyNumberFormat="1" applyFont="1" applyFill="1" applyBorder="1" applyAlignment="1">
      <alignment horizontal="center" vertical="center"/>
    </xf>
    <xf numFmtId="1" fontId="34" fillId="12" borderId="3" xfId="0" applyNumberFormat="1" applyFont="1" applyFill="1" applyBorder="1" applyAlignment="1">
      <alignment horizontal="center" vertical="center"/>
    </xf>
    <xf numFmtId="1" fontId="34" fillId="12" borderId="4" xfId="0" applyNumberFormat="1" applyFont="1" applyFill="1" applyBorder="1" applyAlignment="1">
      <alignment horizontal="center" vertical="center"/>
    </xf>
    <xf numFmtId="0" fontId="0" fillId="27" borderId="1" xfId="0" applyFill="1" applyBorder="1" applyAlignment="1">
      <alignment horizontal="center" vertical="center" wrapText="1"/>
    </xf>
    <xf numFmtId="0" fontId="44" fillId="0" borderId="1" xfId="0" applyFont="1" applyBorder="1" applyAlignment="1">
      <alignment horizontal="center" wrapText="1"/>
    </xf>
    <xf numFmtId="1" fontId="35" fillId="30" borderId="2" xfId="0" applyNumberFormat="1" applyFont="1" applyFill="1" applyBorder="1" applyAlignment="1">
      <alignment horizontal="center" vertical="center"/>
    </xf>
    <xf numFmtId="1" fontId="35" fillId="30" borderId="3" xfId="0" applyNumberFormat="1" applyFont="1" applyFill="1" applyBorder="1" applyAlignment="1">
      <alignment horizontal="center" vertical="center"/>
    </xf>
    <xf numFmtId="1" fontId="35" fillId="30" borderId="4" xfId="0" applyNumberFormat="1" applyFont="1" applyFill="1" applyBorder="1" applyAlignment="1">
      <alignment horizontal="center" vertical="center"/>
    </xf>
    <xf numFmtId="0" fontId="0" fillId="16" borderId="9" xfId="0" applyFill="1" applyBorder="1" applyAlignment="1">
      <alignment horizontal="center" vertical="center" wrapText="1"/>
    </xf>
    <xf numFmtId="0" fontId="0" fillId="16" borderId="1" xfId="0" applyFill="1" applyBorder="1" applyAlignment="1">
      <alignment horizontal="center" vertical="center" wrapText="1"/>
    </xf>
    <xf numFmtId="1" fontId="44" fillId="16" borderId="1" xfId="0" applyNumberFormat="1" applyFont="1" applyFill="1" applyBorder="1" applyAlignment="1">
      <alignment horizontal="center" vertical="center" wrapText="1"/>
    </xf>
    <xf numFmtId="1" fontId="44" fillId="16" borderId="5" xfId="0" applyNumberFormat="1" applyFont="1" applyFill="1" applyBorder="1" applyAlignment="1">
      <alignment horizontal="center" vertical="center" wrapText="1"/>
    </xf>
    <xf numFmtId="1" fontId="91" fillId="29" borderId="2" xfId="0" applyNumberFormat="1" applyFont="1" applyFill="1" applyBorder="1" applyAlignment="1">
      <alignment horizontal="center" vertical="center" wrapText="1"/>
    </xf>
    <xf numFmtId="1" fontId="91" fillId="29" borderId="3" xfId="0" applyNumberFormat="1" applyFont="1" applyFill="1" applyBorder="1" applyAlignment="1">
      <alignment horizontal="center" vertical="center" wrapText="1"/>
    </xf>
    <xf numFmtId="1" fontId="91" fillId="29" borderId="4" xfId="0" applyNumberFormat="1" applyFont="1" applyFill="1" applyBorder="1" applyAlignment="1">
      <alignment horizontal="center" vertical="center" wrapText="1"/>
    </xf>
    <xf numFmtId="0" fontId="44" fillId="0" borderId="12" xfId="0" applyFont="1" applyBorder="1" applyAlignment="1">
      <alignment horizontal="center" wrapText="1"/>
    </xf>
    <xf numFmtId="0" fontId="28" fillId="7" borderId="1" xfId="0" applyFont="1" applyFill="1" applyBorder="1" applyAlignment="1">
      <alignment vertical="center" textRotation="180"/>
    </xf>
    <xf numFmtId="0" fontId="1" fillId="3" borderId="56" xfId="0" applyFont="1" applyFill="1" applyBorder="1" applyAlignment="1">
      <alignment horizontal="center" vertical="center"/>
    </xf>
    <xf numFmtId="0" fontId="1" fillId="3" borderId="54" xfId="0" applyFont="1" applyFill="1" applyBorder="1" applyAlignment="1">
      <alignment horizontal="center" vertical="center"/>
    </xf>
    <xf numFmtId="0" fontId="1" fillId="3" borderId="57" xfId="0" applyFont="1" applyFill="1" applyBorder="1" applyAlignment="1">
      <alignment horizontal="center" vertical="center"/>
    </xf>
    <xf numFmtId="0" fontId="29" fillId="7" borderId="6" xfId="0" applyFont="1" applyFill="1" applyBorder="1" applyAlignment="1">
      <alignment horizontal="center" vertical="center" textRotation="180"/>
    </xf>
    <xf numFmtId="0" fontId="29" fillId="7" borderId="20" xfId="0" applyFont="1" applyFill="1" applyBorder="1" applyAlignment="1">
      <alignment horizontal="center" vertical="center" textRotation="180"/>
    </xf>
    <xf numFmtId="0" fontId="28" fillId="7" borderId="1" xfId="0" applyFont="1" applyFill="1" applyBorder="1" applyAlignment="1">
      <alignment vertical="center"/>
    </xf>
    <xf numFmtId="0" fontId="28" fillId="7" borderId="1" xfId="0" applyFont="1" applyFill="1" applyBorder="1" applyAlignment="1">
      <alignment vertical="center" wrapText="1"/>
    </xf>
    <xf numFmtId="0" fontId="28" fillId="8" borderId="32" xfId="0" applyFont="1" applyFill="1" applyBorder="1" applyAlignment="1">
      <alignment horizontal="center" vertical="center"/>
    </xf>
    <xf numFmtId="0" fontId="28" fillId="8" borderId="51" xfId="0" applyFont="1" applyFill="1" applyBorder="1" applyAlignment="1">
      <alignment horizontal="center" vertical="center"/>
    </xf>
    <xf numFmtId="0" fontId="28" fillId="8" borderId="29" xfId="0" applyFont="1" applyFill="1" applyBorder="1" applyAlignment="1">
      <alignment horizontal="center" vertical="center"/>
    </xf>
    <xf numFmtId="0" fontId="64" fillId="14" borderId="32" xfId="0" applyFont="1" applyFill="1" applyBorder="1" applyAlignment="1">
      <alignment horizontal="center" vertical="center"/>
    </xf>
    <xf numFmtId="0" fontId="64" fillId="14" borderId="51" xfId="0" applyFont="1" applyFill="1" applyBorder="1" applyAlignment="1">
      <alignment horizontal="center" vertical="center"/>
    </xf>
    <xf numFmtId="0" fontId="64" fillId="14" borderId="29" xfId="0" applyFont="1" applyFill="1" applyBorder="1" applyAlignment="1">
      <alignment horizontal="center" vertical="center"/>
    </xf>
    <xf numFmtId="0" fontId="0" fillId="0" borderId="6" xfId="0" applyBorder="1" applyAlignment="1">
      <alignment vertical="center"/>
    </xf>
    <xf numFmtId="0" fontId="0" fillId="0" borderId="7" xfId="0" applyBorder="1" applyAlignment="1">
      <alignment vertical="center"/>
    </xf>
    <xf numFmtId="0" fontId="0" fillId="0" borderId="20" xfId="0" applyBorder="1" applyAlignment="1">
      <alignment vertical="center"/>
    </xf>
    <xf numFmtId="0" fontId="9" fillId="9" borderId="13" xfId="0" applyFont="1" applyFill="1" applyBorder="1" applyAlignment="1">
      <alignment horizontal="center" vertical="center"/>
    </xf>
    <xf numFmtId="0" fontId="9" fillId="9" borderId="14" xfId="0" applyFont="1" applyFill="1" applyBorder="1" applyAlignment="1">
      <alignment horizontal="center" vertical="center"/>
    </xf>
    <xf numFmtId="0" fontId="9" fillId="9" borderId="15" xfId="0" applyFont="1" applyFill="1" applyBorder="1" applyAlignment="1">
      <alignment horizontal="center" vertical="center"/>
    </xf>
    <xf numFmtId="49" fontId="11" fillId="10" borderId="16" xfId="5" applyNumberFormat="1" applyFont="1" applyFill="1" applyBorder="1" applyAlignment="1">
      <alignment horizontal="center" vertical="center" wrapText="1" readingOrder="2"/>
    </xf>
    <xf numFmtId="49" fontId="11" fillId="10" borderId="18" xfId="5" applyNumberFormat="1" applyFont="1" applyFill="1" applyBorder="1" applyAlignment="1">
      <alignment horizontal="center" vertical="center" wrapText="1" readingOrder="2"/>
    </xf>
    <xf numFmtId="49" fontId="11" fillId="10" borderId="19" xfId="5" applyNumberFormat="1" applyFont="1" applyFill="1" applyBorder="1" applyAlignment="1">
      <alignment horizontal="center" vertical="center" wrapText="1" readingOrder="2"/>
    </xf>
    <xf numFmtId="0" fontId="16" fillId="0" borderId="6" xfId="0" applyFont="1" applyBorder="1" applyAlignment="1">
      <alignment vertical="center" wrapText="1" readingOrder="2"/>
    </xf>
    <xf numFmtId="0" fontId="16" fillId="0" borderId="7" xfId="0" applyFont="1" applyBorder="1" applyAlignment="1">
      <alignment vertical="center" wrapText="1" readingOrder="2"/>
    </xf>
    <xf numFmtId="0" fontId="16" fillId="0" borderId="20" xfId="0" applyFont="1" applyBorder="1" applyAlignment="1">
      <alignment vertical="center" wrapText="1" readingOrder="2"/>
    </xf>
    <xf numFmtId="0" fontId="16" fillId="0" borderId="17" xfId="0" applyFont="1" applyBorder="1" applyAlignment="1">
      <alignment horizontal="center" vertical="center" wrapText="1" readingOrder="2"/>
    </xf>
    <xf numFmtId="0" fontId="16" fillId="0" borderId="7" xfId="0" applyFont="1" applyBorder="1" applyAlignment="1">
      <alignment horizontal="center" vertical="center" wrapText="1" readingOrder="2"/>
    </xf>
    <xf numFmtId="0" fontId="16" fillId="0" borderId="21" xfId="0" applyFont="1" applyBorder="1" applyAlignment="1">
      <alignment horizontal="center" vertical="center" wrapText="1" readingOrder="2"/>
    </xf>
    <xf numFmtId="3" fontId="14" fillId="7" borderId="17" xfId="5" applyNumberFormat="1" applyFont="1" applyFill="1" applyBorder="1" applyAlignment="1">
      <alignment horizontal="center" vertical="center" wrapText="1" readingOrder="2"/>
    </xf>
    <xf numFmtId="3" fontId="14" fillId="7" borderId="7" xfId="5" applyNumberFormat="1" applyFont="1" applyFill="1" applyBorder="1" applyAlignment="1">
      <alignment horizontal="center" vertical="center" wrapText="1" readingOrder="2"/>
    </xf>
    <xf numFmtId="3" fontId="14" fillId="7" borderId="21" xfId="5" applyNumberFormat="1" applyFont="1" applyFill="1" applyBorder="1" applyAlignment="1">
      <alignment horizontal="center" vertical="center" wrapText="1" readingOrder="2"/>
    </xf>
    <xf numFmtId="0" fontId="18" fillId="10" borderId="17" xfId="0" applyFont="1" applyFill="1" applyBorder="1" applyAlignment="1">
      <alignment horizontal="center" vertical="center" wrapText="1"/>
    </xf>
    <xf numFmtId="0" fontId="18" fillId="10" borderId="7" xfId="0" applyFont="1" applyFill="1" applyBorder="1" applyAlignment="1">
      <alignment horizontal="center" vertical="center" wrapText="1"/>
    </xf>
    <xf numFmtId="0" fontId="18" fillId="10" borderId="21" xfId="0" applyFont="1" applyFill="1" applyBorder="1" applyAlignment="1">
      <alignment horizontal="center" vertical="center" wrapText="1"/>
    </xf>
    <xf numFmtId="1" fontId="19" fillId="7" borderId="6" xfId="5" applyNumberFormat="1" applyFont="1" applyFill="1" applyBorder="1" applyAlignment="1">
      <alignment vertical="center" wrapText="1" readingOrder="2"/>
    </xf>
    <xf numFmtId="1" fontId="19" fillId="7" borderId="7" xfId="5" applyNumberFormat="1" applyFont="1" applyFill="1" applyBorder="1" applyAlignment="1">
      <alignment vertical="center" wrapText="1" readingOrder="2"/>
    </xf>
    <xf numFmtId="1" fontId="19" fillId="7" borderId="20" xfId="5" applyNumberFormat="1" applyFont="1" applyFill="1" applyBorder="1" applyAlignment="1">
      <alignment vertical="center" wrapText="1" readingOrder="2"/>
    </xf>
    <xf numFmtId="0" fontId="21" fillId="0" borderId="17" xfId="0" applyFont="1" applyBorder="1" applyAlignment="1">
      <alignment horizontal="center" vertical="center" wrapText="1" readingOrder="2"/>
    </xf>
    <xf numFmtId="0" fontId="21" fillId="0" borderId="7" xfId="0" applyFont="1" applyBorder="1" applyAlignment="1">
      <alignment horizontal="center" vertical="center" wrapText="1" readingOrder="2"/>
    </xf>
    <xf numFmtId="0" fontId="21" fillId="0" borderId="21" xfId="0" applyFont="1" applyBorder="1" applyAlignment="1">
      <alignment horizontal="center" vertical="center" wrapText="1" readingOrder="2"/>
    </xf>
    <xf numFmtId="0" fontId="0" fillId="0" borderId="8" xfId="0" applyBorder="1" applyAlignment="1">
      <alignment vertical="center"/>
    </xf>
    <xf numFmtId="0" fontId="0" fillId="0" borderId="10" xfId="0" applyBorder="1" applyAlignment="1">
      <alignment vertical="center"/>
    </xf>
    <xf numFmtId="0" fontId="0" fillId="0" borderId="22" xfId="0" applyBorder="1" applyAlignment="1">
      <alignment vertical="center"/>
    </xf>
    <xf numFmtId="1" fontId="15" fillId="7" borderId="6" xfId="5" applyNumberFormat="1" applyFont="1" applyFill="1" applyBorder="1" applyAlignment="1">
      <alignment vertical="center" wrapText="1" readingOrder="2"/>
    </xf>
    <xf numFmtId="1" fontId="15" fillId="7" borderId="7" xfId="5" applyNumberFormat="1" applyFont="1" applyFill="1" applyBorder="1" applyAlignment="1">
      <alignment vertical="center" wrapText="1" readingOrder="2"/>
    </xf>
    <xf numFmtId="1" fontId="15" fillId="7" borderId="20" xfId="5" applyNumberFormat="1" applyFont="1" applyFill="1" applyBorder="1" applyAlignment="1">
      <alignment vertical="center" wrapText="1" readingOrder="2"/>
    </xf>
    <xf numFmtId="9" fontId="20" fillId="11" borderId="6" xfId="0" applyNumberFormat="1" applyFont="1" applyFill="1" applyBorder="1" applyAlignment="1">
      <alignment vertical="center"/>
    </xf>
    <xf numFmtId="9" fontId="20" fillId="11" borderId="7" xfId="0" applyNumberFormat="1" applyFont="1" applyFill="1" applyBorder="1" applyAlignment="1">
      <alignment vertical="center"/>
    </xf>
    <xf numFmtId="9" fontId="20" fillId="11" borderId="20" xfId="0" applyNumberFormat="1" applyFont="1" applyFill="1" applyBorder="1" applyAlignment="1">
      <alignment vertical="center"/>
    </xf>
    <xf numFmtId="9" fontId="21" fillId="7" borderId="6" xfId="0" applyNumberFormat="1" applyFont="1" applyFill="1" applyBorder="1" applyAlignment="1">
      <alignment vertical="center"/>
    </xf>
    <xf numFmtId="9" fontId="21" fillId="7" borderId="7" xfId="0" applyNumberFormat="1" applyFont="1" applyFill="1" applyBorder="1" applyAlignment="1">
      <alignment vertical="center"/>
    </xf>
    <xf numFmtId="9" fontId="21" fillId="7" borderId="20" xfId="0" applyNumberFormat="1" applyFont="1" applyFill="1" applyBorder="1" applyAlignment="1">
      <alignment vertical="center"/>
    </xf>
    <xf numFmtId="0" fontId="21" fillId="0" borderId="6" xfId="0" applyFont="1" applyBorder="1" applyAlignment="1">
      <alignment vertical="center" wrapText="1" readingOrder="2"/>
    </xf>
    <xf numFmtId="0" fontId="21" fillId="0" borderId="7" xfId="0" applyFont="1" applyBorder="1" applyAlignment="1">
      <alignment vertical="center" wrapText="1" readingOrder="2"/>
    </xf>
    <xf numFmtId="0" fontId="21" fillId="0" borderId="20" xfId="0" applyFont="1" applyBorder="1" applyAlignment="1">
      <alignment vertical="center" wrapText="1" readingOrder="2"/>
    </xf>
    <xf numFmtId="0" fontId="0" fillId="0" borderId="23" xfId="0" applyBorder="1" applyAlignment="1">
      <alignment horizontal="center" vertical="center"/>
    </xf>
    <xf numFmtId="0" fontId="0" fillId="0" borderId="10" xfId="0" applyBorder="1" applyAlignment="1">
      <alignment horizontal="center" vertical="center"/>
    </xf>
    <xf numFmtId="0" fontId="0" fillId="0" borderId="24" xfId="0" applyBorder="1" applyAlignment="1">
      <alignment horizontal="center" vertical="center"/>
    </xf>
    <xf numFmtId="49" fontId="11" fillId="10" borderId="2" xfId="5" applyNumberFormat="1" applyFont="1" applyFill="1" applyBorder="1" applyAlignment="1">
      <alignment horizontal="center" vertical="center" wrapText="1" readingOrder="2"/>
    </xf>
    <xf numFmtId="49" fontId="11" fillId="10" borderId="9" xfId="5" applyNumberFormat="1" applyFont="1" applyFill="1" applyBorder="1" applyAlignment="1">
      <alignment horizontal="center" vertical="center" wrapText="1" readingOrder="2"/>
    </xf>
    <xf numFmtId="49" fontId="11" fillId="10" borderId="11" xfId="5" applyNumberFormat="1" applyFont="1" applyFill="1" applyBorder="1" applyAlignment="1">
      <alignment horizontal="center" vertical="center" wrapText="1" readingOrder="2"/>
    </xf>
    <xf numFmtId="3" fontId="14" fillId="7" borderId="17" xfId="5" applyNumberFormat="1" applyFont="1" applyFill="1" applyBorder="1" applyAlignment="1">
      <alignment horizontal="right" vertical="center" wrapText="1" readingOrder="2"/>
    </xf>
    <xf numFmtId="3" fontId="14" fillId="7" borderId="7" xfId="5" applyNumberFormat="1" applyFont="1" applyFill="1" applyBorder="1" applyAlignment="1">
      <alignment horizontal="right" vertical="center" wrapText="1" readingOrder="2"/>
    </xf>
    <xf numFmtId="3" fontId="14" fillId="7" borderId="21" xfId="5" applyNumberFormat="1" applyFont="1" applyFill="1" applyBorder="1" applyAlignment="1">
      <alignment horizontal="right" vertical="center" wrapText="1" readingOrder="2"/>
    </xf>
    <xf numFmtId="1" fontId="22" fillId="7" borderId="17" xfId="5" applyNumberFormat="1" applyFont="1" applyFill="1" applyBorder="1" applyAlignment="1">
      <alignment horizontal="center" vertical="center" wrapText="1" readingOrder="2"/>
    </xf>
    <xf numFmtId="1" fontId="22" fillId="7" borderId="7" xfId="5" applyNumberFormat="1" applyFont="1" applyFill="1" applyBorder="1" applyAlignment="1">
      <alignment horizontal="center" vertical="center" wrapText="1" readingOrder="2"/>
    </xf>
    <xf numFmtId="1" fontId="22" fillId="7" borderId="21" xfId="5" applyNumberFormat="1" applyFont="1" applyFill="1" applyBorder="1" applyAlignment="1">
      <alignment horizontal="center" vertical="center" wrapText="1" readingOrder="2"/>
    </xf>
    <xf numFmtId="1" fontId="15" fillId="7" borderId="17" xfId="5" applyNumberFormat="1" applyFont="1" applyFill="1" applyBorder="1" applyAlignment="1">
      <alignment horizontal="center" vertical="center" wrapText="1" readingOrder="2"/>
    </xf>
    <xf numFmtId="1" fontId="15" fillId="7" borderId="7" xfId="5" applyNumberFormat="1" applyFont="1" applyFill="1" applyBorder="1" applyAlignment="1">
      <alignment horizontal="center" vertical="center" wrapText="1" readingOrder="2"/>
    </xf>
    <xf numFmtId="1" fontId="15" fillId="7" borderId="21" xfId="5" applyNumberFormat="1" applyFont="1" applyFill="1" applyBorder="1" applyAlignment="1">
      <alignment horizontal="center" vertical="center" wrapText="1" readingOrder="2"/>
    </xf>
    <xf numFmtId="9" fontId="20" fillId="11" borderId="17" xfId="0" applyNumberFormat="1" applyFont="1" applyFill="1" applyBorder="1" applyAlignment="1">
      <alignment horizontal="center" vertical="center"/>
    </xf>
    <xf numFmtId="9" fontId="20" fillId="11" borderId="7" xfId="0" applyNumberFormat="1" applyFont="1" applyFill="1" applyBorder="1" applyAlignment="1">
      <alignment horizontal="center" vertical="center"/>
    </xf>
    <xf numFmtId="9" fontId="20" fillId="11" borderId="21" xfId="0" applyNumberFormat="1" applyFont="1" applyFill="1" applyBorder="1" applyAlignment="1">
      <alignment horizontal="center" vertical="center"/>
    </xf>
    <xf numFmtId="9" fontId="21" fillId="7" borderId="17" xfId="0" applyNumberFormat="1" applyFont="1" applyFill="1" applyBorder="1" applyAlignment="1">
      <alignment horizontal="center" vertical="center"/>
    </xf>
    <xf numFmtId="9" fontId="21" fillId="7" borderId="7" xfId="0" applyNumberFormat="1" applyFont="1" applyFill="1" applyBorder="1" applyAlignment="1">
      <alignment horizontal="center" vertical="center"/>
    </xf>
    <xf numFmtId="9" fontId="21" fillId="7" borderId="21" xfId="0" applyNumberFormat="1" applyFont="1" applyFill="1" applyBorder="1" applyAlignment="1">
      <alignment horizontal="center" vertical="center"/>
    </xf>
    <xf numFmtId="0" fontId="0" fillId="0" borderId="23" xfId="0" applyBorder="1" applyAlignment="1">
      <alignment horizontal="right" vertical="center" wrapText="1" readingOrder="2"/>
    </xf>
    <xf numFmtId="0" fontId="0" fillId="0" borderId="10" xfId="0" applyBorder="1" applyAlignment="1">
      <alignment horizontal="right" vertical="center" wrapText="1" readingOrder="2"/>
    </xf>
    <xf numFmtId="0" fontId="0" fillId="0" borderId="24" xfId="0" applyBorder="1" applyAlignment="1">
      <alignment horizontal="right" vertical="center" wrapText="1" readingOrder="2"/>
    </xf>
    <xf numFmtId="9" fontId="20" fillId="3" borderId="17" xfId="0" applyNumberFormat="1" applyFont="1" applyFill="1" applyBorder="1" applyAlignment="1">
      <alignment horizontal="center" vertical="center"/>
    </xf>
    <xf numFmtId="9" fontId="20" fillId="3" borderId="7" xfId="0" applyNumberFormat="1" applyFont="1" applyFill="1" applyBorder="1" applyAlignment="1">
      <alignment horizontal="center" vertical="center"/>
    </xf>
    <xf numFmtId="9" fontId="20" fillId="3" borderId="21" xfId="0" applyNumberFormat="1" applyFont="1" applyFill="1" applyBorder="1" applyAlignment="1">
      <alignment horizontal="center" vertical="center"/>
    </xf>
    <xf numFmtId="1" fontId="25" fillId="7" borderId="6" xfId="5" applyNumberFormat="1" applyFont="1" applyFill="1" applyBorder="1" applyAlignment="1">
      <alignment vertical="center" wrapText="1" readingOrder="2"/>
    </xf>
    <xf numFmtId="1" fontId="25" fillId="7" borderId="7" xfId="5" applyNumberFormat="1" applyFont="1" applyFill="1" applyBorder="1" applyAlignment="1">
      <alignment vertical="center" wrapText="1" readingOrder="2"/>
    </xf>
    <xf numFmtId="1" fontId="25" fillId="7" borderId="21" xfId="5" applyNumberFormat="1" applyFont="1" applyFill="1" applyBorder="1" applyAlignment="1">
      <alignment vertical="center" wrapText="1" readingOrder="2"/>
    </xf>
    <xf numFmtId="1" fontId="24" fillId="7" borderId="17" xfId="5" applyNumberFormat="1" applyFont="1" applyFill="1" applyBorder="1" applyAlignment="1">
      <alignment horizontal="center" vertical="center" wrapText="1" readingOrder="2"/>
    </xf>
    <xf numFmtId="1" fontId="24" fillId="7" borderId="7" xfId="5" applyNumberFormat="1" applyFont="1" applyFill="1" applyBorder="1" applyAlignment="1">
      <alignment horizontal="center" vertical="center" wrapText="1" readingOrder="2"/>
    </xf>
    <xf numFmtId="1" fontId="24" fillId="7" borderId="21" xfId="5" applyNumberFormat="1" applyFont="1" applyFill="1" applyBorder="1" applyAlignment="1">
      <alignment horizontal="center" vertical="center" wrapText="1" readingOrder="2"/>
    </xf>
    <xf numFmtId="0" fontId="16" fillId="0" borderId="3" xfId="0" applyFont="1" applyBorder="1" applyAlignment="1">
      <alignment vertical="center" wrapText="1" readingOrder="2"/>
    </xf>
    <xf numFmtId="0" fontId="16" fillId="0" borderId="1" xfId="0" applyFont="1" applyBorder="1" applyAlignment="1">
      <alignment vertical="center" wrapText="1" readingOrder="2"/>
    </xf>
    <xf numFmtId="0" fontId="16" fillId="0" borderId="12" xfId="0" applyFont="1" applyBorder="1" applyAlignment="1">
      <alignment vertical="center" wrapText="1" readingOrder="2"/>
    </xf>
    <xf numFmtId="0" fontId="16" fillId="0" borderId="3" xfId="0" applyFont="1" applyBorder="1" applyAlignment="1">
      <alignment horizontal="center" vertical="center" wrapText="1" readingOrder="2"/>
    </xf>
    <xf numFmtId="0" fontId="16" fillId="0" borderId="12" xfId="0" applyFont="1" applyBorder="1" applyAlignment="1">
      <alignment horizontal="center" vertical="center" wrapText="1" readingOrder="2"/>
    </xf>
    <xf numFmtId="0" fontId="26" fillId="7" borderId="17" xfId="0" applyFont="1" applyFill="1" applyBorder="1" applyAlignment="1">
      <alignment horizontal="center" vertical="center" wrapText="1"/>
    </xf>
    <xf numFmtId="0" fontId="26" fillId="7" borderId="7" xfId="0" applyFont="1" applyFill="1" applyBorder="1" applyAlignment="1">
      <alignment horizontal="center" vertical="center" wrapText="1"/>
    </xf>
    <xf numFmtId="0" fontId="26" fillId="7" borderId="21" xfId="0" applyFont="1" applyFill="1" applyBorder="1" applyAlignment="1">
      <alignment horizontal="center" vertical="center" wrapText="1"/>
    </xf>
    <xf numFmtId="1" fontId="12" fillId="7" borderId="17" xfId="5" applyNumberFormat="1" applyFont="1" applyFill="1" applyBorder="1" applyAlignment="1">
      <alignment horizontal="center" vertical="center" wrapText="1" readingOrder="2"/>
    </xf>
    <xf numFmtId="1" fontId="12" fillId="7" borderId="7" xfId="5" applyNumberFormat="1" applyFont="1" applyFill="1" applyBorder="1" applyAlignment="1">
      <alignment horizontal="center" vertical="center" wrapText="1" readingOrder="2"/>
    </xf>
    <xf numFmtId="1" fontId="12" fillId="7" borderId="21" xfId="5" applyNumberFormat="1" applyFont="1" applyFill="1" applyBorder="1" applyAlignment="1">
      <alignment horizontal="center" vertical="center" wrapText="1" readingOrder="2"/>
    </xf>
    <xf numFmtId="0" fontId="83" fillId="12" borderId="53" xfId="0" applyFont="1" applyFill="1" applyBorder="1" applyAlignment="1">
      <alignment horizontal="center" vertical="center"/>
    </xf>
    <xf numFmtId="0" fontId="87" fillId="7" borderId="1" xfId="0" applyFont="1" applyFill="1" applyBorder="1" applyAlignment="1">
      <alignment horizontal="right" vertical="center" wrapText="1"/>
    </xf>
    <xf numFmtId="0" fontId="63" fillId="7" borderId="1" xfId="0" applyFont="1" applyFill="1" applyBorder="1" applyAlignment="1">
      <alignment horizontal="right" vertical="center" wrapText="1"/>
    </xf>
    <xf numFmtId="0" fontId="80" fillId="14" borderId="65" xfId="0" applyFont="1" applyFill="1" applyBorder="1" applyAlignment="1">
      <alignment horizontal="center" vertical="center" wrapText="1"/>
    </xf>
    <xf numFmtId="0" fontId="80" fillId="14" borderId="66" xfId="0" applyFont="1" applyFill="1" applyBorder="1" applyAlignment="1">
      <alignment horizontal="center" vertical="center" wrapText="1"/>
    </xf>
    <xf numFmtId="0" fontId="80" fillId="14" borderId="67" xfId="0" applyFont="1" applyFill="1" applyBorder="1" applyAlignment="1">
      <alignment horizontal="center" vertical="center" wrapText="1"/>
    </xf>
    <xf numFmtId="1" fontId="44" fillId="0" borderId="1" xfId="0" applyNumberFormat="1" applyFont="1" applyBorder="1" applyAlignment="1">
      <alignment horizontal="center" wrapText="1"/>
    </xf>
    <xf numFmtId="164" fontId="44" fillId="0" borderId="1" xfId="0" applyNumberFormat="1" applyFont="1" applyBorder="1" applyAlignment="1">
      <alignment horizontal="center" wrapText="1"/>
    </xf>
    <xf numFmtId="164" fontId="44" fillId="0" borderId="12" xfId="0" applyNumberFormat="1" applyFont="1" applyBorder="1" applyAlignment="1">
      <alignment horizontal="center" wrapText="1"/>
    </xf>
    <xf numFmtId="164" fontId="44" fillId="0" borderId="1" xfId="0" applyNumberFormat="1" applyFont="1" applyBorder="1" applyAlignment="1">
      <alignment horizontal="center"/>
    </xf>
    <xf numFmtId="164" fontId="44" fillId="0" borderId="5" xfId="0" applyNumberFormat="1" applyFont="1" applyBorder="1" applyAlignment="1">
      <alignment horizontal="center"/>
    </xf>
    <xf numFmtId="164" fontId="44" fillId="0" borderId="12" xfId="0" applyNumberFormat="1" applyFont="1" applyBorder="1" applyAlignment="1">
      <alignment horizontal="center"/>
    </xf>
    <xf numFmtId="164" fontId="44" fillId="0" borderId="85" xfId="0" applyNumberFormat="1" applyFont="1" applyBorder="1" applyAlignment="1">
      <alignment horizontal="center"/>
    </xf>
    <xf numFmtId="164" fontId="44" fillId="0" borderId="6" xfId="0" applyNumberFormat="1" applyFont="1" applyBorder="1" applyAlignment="1">
      <alignment horizontal="center" vertical="center"/>
    </xf>
    <xf numFmtId="0" fontId="44" fillId="0" borderId="7" xfId="0" applyFont="1" applyBorder="1" applyAlignment="1">
      <alignment horizontal="center" vertical="center"/>
    </xf>
    <xf numFmtId="0" fontId="44" fillId="0" borderId="20" xfId="0" applyFont="1" applyBorder="1" applyAlignment="1">
      <alignment horizontal="center" vertical="center"/>
    </xf>
  </cellXfs>
  <cellStyles count="8">
    <cellStyle name="Bad" xfId="2" builtinId="27"/>
    <cellStyle name="Good" xfId="1" builtinId="26"/>
    <cellStyle name="Hyperlink" xfId="7" builtinId="8"/>
    <cellStyle name="Neutral" xfId="3" builtinId="28"/>
    <cellStyle name="Normal" xfId="0" builtinId="0"/>
    <cellStyle name="Normal 2" xfId="4" xr:uid="{A7DCE8FC-E2BB-4C9A-B634-3A9CD549128C}"/>
    <cellStyle name="Normal 3" xfId="5" xr:uid="{614693EB-432D-433B-B8F6-6E39830B192B}"/>
    <cellStyle name="normální_List1" xfId="6" xr:uid="{59D1B9D1-4317-4020-952E-CAD688806A44}"/>
  </cellStyles>
  <dxfs count="2">
    <dxf>
      <font>
        <color rgb="FFFF0000"/>
      </font>
    </dxf>
    <dxf>
      <font>
        <color rgb="FFFF0000"/>
      </font>
      <fill>
        <patternFill>
          <bgColor rgb="FFFFFF00"/>
        </patternFill>
      </fill>
    </dxf>
  </dxfs>
  <tableStyles count="0" defaultTableStyle="TableStyleMedium9" defaultPivotStyle="PivotStyleLight16"/>
  <colors>
    <mruColors>
      <color rgb="FFCCFF99"/>
      <color rgb="FFFFFFCC"/>
      <color rgb="FFCCFFCC"/>
      <color rgb="FFCCFFFF"/>
      <color rgb="FF66FFFF"/>
      <color rgb="FFFF0000"/>
      <color rgb="FFA50021"/>
      <color rgb="FFFF0066"/>
      <color rgb="FFCC000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rtl="1">
              <a:defRPr sz="1600" b="1" i="0" u="none" strike="noStrike" kern="1200" baseline="0">
                <a:solidFill>
                  <a:schemeClr val="dk1">
                    <a:lumMod val="75000"/>
                    <a:lumOff val="25000"/>
                  </a:schemeClr>
                </a:solidFill>
                <a:latin typeface="+mn-lt"/>
                <a:ea typeface="+mn-ea"/>
                <a:cs typeface="+mn-cs"/>
              </a:defRPr>
            </a:pPr>
            <a:r>
              <a:rPr lang="fa-IR" sz="1600"/>
              <a:t>توان مصرفي روزانه  </a:t>
            </a:r>
            <a:r>
              <a:rPr lang="en-US" sz="1600"/>
              <a:t> (KW)</a:t>
            </a:r>
            <a:r>
              <a:rPr lang="fa-IR" sz="1600"/>
              <a:t> </a:t>
            </a:r>
            <a:endParaRPr lang="en-US" sz="1600"/>
          </a:p>
        </c:rich>
      </c:tx>
      <c:layout>
        <c:manualLayout>
          <c:xMode val="edge"/>
          <c:yMode val="edge"/>
          <c:x val="0.41817148022122896"/>
          <c:y val="1.6221321943200924E-2"/>
        </c:manualLayout>
      </c:layout>
      <c:overlay val="0"/>
      <c:spPr>
        <a:solidFill>
          <a:sysClr val="window" lastClr="FFFFFF"/>
        </a:solidFill>
        <a:ln>
          <a:noFill/>
        </a:ln>
        <a:effectLst/>
      </c:spPr>
      <c:txPr>
        <a:bodyPr rot="0" spcFirstLastPara="1" vertOverflow="ellipsis" vert="horz" wrap="square" anchor="ctr" anchorCtr="1"/>
        <a:lstStyle/>
        <a:p>
          <a:pPr rtl="1">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7.6729427827807062E-2"/>
          <c:y val="5.643202494425039E-2"/>
          <c:w val="0.86777757614180295"/>
          <c:h val="0.74184573269042398"/>
        </c:manualLayout>
      </c:layout>
      <c:stockChart>
        <c:ser>
          <c:idx val="1"/>
          <c:order val="1"/>
          <c:tx>
            <c:strRef>
              <c:f>'Candle estick Chart'!$C$2</c:f>
              <c:strCache>
                <c:ptCount val="1"/>
                <c:pt idx="0">
                  <c:v>High</c:v>
                </c:pt>
              </c:strCache>
            </c:strRef>
          </c:tx>
          <c:spPr>
            <a:ln w="25400" cap="rnd">
              <a:noFill/>
              <a:round/>
            </a:ln>
            <a:effectLst/>
          </c:spPr>
          <c:marker>
            <c:symbol val="none"/>
          </c:marker>
          <c:dLbls>
            <c:dLbl>
              <c:idx val="0"/>
              <c:layout>
                <c:manualLayout>
                  <c:x val="-2.5974025974025979E-2"/>
                  <c:y val="-3.86983289357959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5B-4681-BCC7-359D7DB06329}"/>
                </c:ext>
              </c:extLst>
            </c:dLbl>
            <c:dLbl>
              <c:idx val="1"/>
              <c:layout>
                <c:manualLayout>
                  <c:x val="-2.4737167594310452E-2"/>
                  <c:y val="-3.1662269129287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5B-4681-BCC7-359D7DB06329}"/>
                </c:ext>
              </c:extLst>
            </c:dLbl>
            <c:dLbl>
              <c:idx val="2"/>
              <c:layout>
                <c:manualLayout>
                  <c:x val="-2.2263450834879406E-2"/>
                  <c:y val="-4.221635883905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5B-4681-BCC7-359D7DB06329}"/>
                </c:ext>
              </c:extLst>
            </c:dLbl>
            <c:dLbl>
              <c:idx val="3"/>
              <c:layout>
                <c:manualLayout>
                  <c:x val="-2.120141342756186E-2"/>
                  <c:y val="-3.1662269129287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5B-4681-BCC7-359D7DB06329}"/>
                </c:ext>
              </c:extLst>
            </c:dLbl>
            <c:dLbl>
              <c:idx val="4"/>
              <c:layout>
                <c:manualLayout>
                  <c:x val="-2.1201413427561815E-2"/>
                  <c:y val="-3.1662269129287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5B-4681-BCC7-359D7DB06329}"/>
                </c:ext>
              </c:extLst>
            </c:dLbl>
            <c:dLbl>
              <c:idx val="5"/>
              <c:layout>
                <c:manualLayout>
                  <c:x val="-2.3557126030624244E-2"/>
                  <c:y val="-4.22163588390501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5B-4681-BCC7-359D7DB06329}"/>
                </c:ext>
              </c:extLst>
            </c:dLbl>
            <c:dLbl>
              <c:idx val="6"/>
              <c:layout>
                <c:manualLayout>
                  <c:x val="-1.8845654452204118E-2"/>
                  <c:y val="-5.2770448548812694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9729093050647814E-2"/>
                      <c:h val="5.623584650863233E-2"/>
                    </c:manualLayout>
                  </c15:layout>
                </c:ext>
                <c:ext xmlns:c16="http://schemas.microsoft.com/office/drawing/2014/chart" uri="{C3380CC4-5D6E-409C-BE32-E72D297353CC}">
                  <c16:uniqueId val="{00000006-B05B-4681-BCC7-359D7DB06329}"/>
                </c:ext>
              </c:extLst>
            </c:dLbl>
            <c:dLbl>
              <c:idx val="7"/>
              <c:layout>
                <c:manualLayout>
                  <c:x val="-1.9675925925925927E-2"/>
                  <c:y val="-3.51802990325418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5B-4681-BCC7-359D7DB06329}"/>
                </c:ext>
              </c:extLst>
            </c:dLbl>
            <c:dLbl>
              <c:idx val="8"/>
              <c:layout>
                <c:manualLayout>
                  <c:x val="-2.2371364653243887E-2"/>
                  <c:y val="-2.1299254526091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5B-4681-BCC7-359D7DB06329}"/>
                </c:ext>
              </c:extLst>
            </c:dLbl>
            <c:dLbl>
              <c:idx val="9"/>
              <c:layout>
                <c:manualLayout>
                  <c:x val="-2.4649859943977632E-2"/>
                  <c:y val="-1.7173522215032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05B-4681-BCC7-359D7DB06329}"/>
                </c:ext>
              </c:extLst>
            </c:dLbl>
            <c:dLbl>
              <c:idx val="10"/>
              <c:layout>
                <c:manualLayout>
                  <c:x val="-1.9047619047619088E-2"/>
                  <c:y val="-2.36135930456701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05B-4681-BCC7-359D7DB06329}"/>
                </c:ext>
              </c:extLst>
            </c:dLbl>
            <c:dLbl>
              <c:idx val="11"/>
              <c:layout>
                <c:manualLayout>
                  <c:x val="-2.0168067226890758E-2"/>
                  <c:y val="-2.36135930456701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05B-4681-BCC7-359D7DB06329}"/>
                </c:ext>
              </c:extLst>
            </c:dLbl>
            <c:dLbl>
              <c:idx val="12"/>
              <c:layout>
                <c:manualLayout>
                  <c:x val="-1.9047619047619049E-2"/>
                  <c:y val="-2.36135930456701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05B-4681-BCC7-359D7DB06329}"/>
                </c:ext>
              </c:extLst>
            </c:dLbl>
            <c:dLbl>
              <c:idx val="13"/>
              <c:layout>
                <c:manualLayout>
                  <c:x val="-2.2408963585434174E-2"/>
                  <c:y val="-1.7173522215032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05B-4681-BCC7-359D7DB06329}"/>
                </c:ext>
              </c:extLst>
            </c:dLbl>
            <c:dLbl>
              <c:idx val="14"/>
              <c:layout>
                <c:manualLayout>
                  <c:x val="-1.9047619047619049E-2"/>
                  <c:y val="-1.7173522215032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05B-4681-BCC7-359D7DB06329}"/>
                </c:ext>
              </c:extLst>
            </c:dLbl>
            <c:dLbl>
              <c:idx val="15"/>
              <c:layout>
                <c:manualLayout>
                  <c:x val="-2.0168067226890758E-2"/>
                  <c:y val="-2.36135930456700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05B-4681-BCC7-359D7DB06329}"/>
                </c:ext>
              </c:extLst>
            </c:dLbl>
            <c:dLbl>
              <c:idx val="16"/>
              <c:layout>
                <c:manualLayout>
                  <c:x val="-2.2408963585434174E-2"/>
                  <c:y val="-1.7173522215032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05B-4681-BCC7-359D7DB06329}"/>
                </c:ext>
              </c:extLst>
            </c:dLbl>
            <c:dLbl>
              <c:idx val="17"/>
              <c:layout>
                <c:manualLayout>
                  <c:x val="-2.2408963585434257E-2"/>
                  <c:y val="-2.146690276879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05B-4681-BCC7-359D7DB06329}"/>
                </c:ext>
              </c:extLst>
            </c:dLbl>
            <c:dLbl>
              <c:idx val="18"/>
              <c:layout>
                <c:manualLayout>
                  <c:x val="-1.9047619047619049E-2"/>
                  <c:y val="-1.9320212491911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05B-4681-BCC7-359D7DB06329}"/>
                </c:ext>
              </c:extLst>
            </c:dLbl>
            <c:dLbl>
              <c:idx val="19"/>
              <c:layout>
                <c:manualLayout>
                  <c:x val="-2.0168067226890758E-2"/>
                  <c:y val="-2.146690276879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05B-4681-BCC7-359D7DB06329}"/>
                </c:ext>
              </c:extLst>
            </c:dLbl>
            <c:dLbl>
              <c:idx val="20"/>
              <c:layout>
                <c:manualLayout>
                  <c:x val="-2.0168067226890758E-2"/>
                  <c:y val="-2.36135930456700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05B-4681-BCC7-359D7DB06329}"/>
                </c:ext>
              </c:extLst>
            </c:dLbl>
            <c:dLbl>
              <c:idx val="21"/>
              <c:layout>
                <c:manualLayout>
                  <c:x val="-1.680672268907563E-2"/>
                  <c:y val="-2.1466902768791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05B-4681-BCC7-359D7DB06329}"/>
                </c:ext>
              </c:extLst>
            </c:dLbl>
            <c:dLbl>
              <c:idx val="22"/>
              <c:layout>
                <c:manualLayout>
                  <c:x val="-2.8011204481792718E-2"/>
                  <c:y val="-2.57602833225492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05B-4681-BCC7-359D7DB06329}"/>
                </c:ext>
              </c:extLst>
            </c:dLbl>
            <c:dLbl>
              <c:idx val="23"/>
              <c:layout>
                <c:manualLayout>
                  <c:x val="-2.4649859943977757E-2"/>
                  <c:y val="-1.9320212491911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05B-4681-BCC7-359D7DB06329}"/>
                </c:ext>
              </c:extLst>
            </c:dLbl>
            <c:dLbl>
              <c:idx val="24"/>
              <c:layout>
                <c:manualLayout>
                  <c:x val="-1.9047619047619049E-2"/>
                  <c:y val="-2.146690276879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B05B-4681-BCC7-359D7DB06329}"/>
                </c:ext>
              </c:extLst>
            </c:dLbl>
            <c:dLbl>
              <c:idx val="25"/>
              <c:layout>
                <c:manualLayout>
                  <c:x val="-2.3478682811707362E-2"/>
                  <c:y val="-3.7923058563739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B05B-4681-BCC7-359D7DB06329}"/>
                </c:ext>
              </c:extLst>
            </c:dLbl>
            <c:dLbl>
              <c:idx val="26"/>
              <c:layout>
                <c:manualLayout>
                  <c:x val="-2.3489932885906041E-2"/>
                  <c:y val="-4.925241864555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B05B-4681-BCC7-359D7DB06329}"/>
                </c:ext>
              </c:extLst>
            </c:dLbl>
            <c:dLbl>
              <c:idx val="27"/>
              <c:layout>
                <c:manualLayout>
                  <c:x val="-2.2371364653244012E-2"/>
                  <c:y val="-3.518029903254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B05B-4681-BCC7-359D7DB06329}"/>
                </c:ext>
              </c:extLst>
            </c:dLbl>
            <c:dLbl>
              <c:idx val="28"/>
              <c:layout>
                <c:manualLayout>
                  <c:x val="-1.7897091722595078E-2"/>
                  <c:y val="-4.5734388742304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B05B-4681-BCC7-359D7DB06329}"/>
                </c:ext>
              </c:extLst>
            </c:dLbl>
            <c:dLbl>
              <c:idx val="29"/>
              <c:layout>
                <c:manualLayout>
                  <c:x val="-1.1185682326621925E-2"/>
                  <c:y val="-2.1108179419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B05B-4681-BCC7-359D7DB0632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'Candle estick Chart'!$A$3:$A$32</c:f>
              <c:numCache>
                <c:formatCode>General</c:formatCode>
                <c:ptCount val="30"/>
                <c:pt idx="0">
                  <c:v>1</c:v>
                </c:pt>
                <c:pt idx="1">
                  <c:v>2</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numCache>
            </c:numRef>
          </c:cat>
          <c:val>
            <c:numRef>
              <c:f>'Candle estick Chart'!$C$3:$C$32</c:f>
              <c:numCache>
                <c:formatCode>0</c:formatCode>
                <c:ptCount val="30"/>
                <c:pt idx="0">
                  <c:v>2099</c:v>
                </c:pt>
                <c:pt idx="1">
                  <c:v>2100</c:v>
                </c:pt>
                <c:pt idx="2">
                  <c:v>2110</c:v>
                </c:pt>
                <c:pt idx="3">
                  <c:v>2103</c:v>
                </c:pt>
                <c:pt idx="4">
                  <c:v>2022</c:v>
                </c:pt>
                <c:pt idx="5">
                  <c:v>2078</c:v>
                </c:pt>
                <c:pt idx="6">
                  <c:v>2086</c:v>
                </c:pt>
                <c:pt idx="7">
                  <c:v>2053</c:v>
                </c:pt>
                <c:pt idx="8">
                  <c:v>2100</c:v>
                </c:pt>
                <c:pt idx="9">
                  <c:v>2079.9962550617374</c:v>
                </c:pt>
                <c:pt idx="10">
                  <c:v>2060.1132733228687</c:v>
                </c:pt>
                <c:pt idx="11">
                  <c:v>2044</c:v>
                </c:pt>
                <c:pt idx="12">
                  <c:v>2024.3520424824596</c:v>
                </c:pt>
                <c:pt idx="13">
                  <c:v>2004.8492926295555</c:v>
                </c:pt>
                <c:pt idx="14">
                  <c:v>2105</c:v>
                </c:pt>
                <c:pt idx="15">
                  <c:v>2084.6449162312147</c:v>
                </c:pt>
                <c:pt idx="16">
                  <c:v>2064.4553466049802</c:v>
                </c:pt>
                <c:pt idx="17">
                  <c:v>2105</c:v>
                </c:pt>
                <c:pt idx="18">
                  <c:v>2084.5592339138452</c:v>
                </c:pt>
                <c:pt idx="19">
                  <c:v>2060</c:v>
                </c:pt>
                <c:pt idx="20">
                  <c:v>2039.9526463963614</c:v>
                </c:pt>
                <c:pt idx="21">
                  <c:v>2020.0815537053136</c:v>
                </c:pt>
                <c:pt idx="22">
                  <c:v>2097</c:v>
                </c:pt>
                <c:pt idx="23">
                  <c:v>2076.5390168521594</c:v>
                </c:pt>
                <c:pt idx="24">
                  <c:v>2056.2626517840481</c:v>
                </c:pt>
                <c:pt idx="25">
                  <c:v>2089</c:v>
                </c:pt>
                <c:pt idx="26">
                  <c:v>2063</c:v>
                </c:pt>
                <c:pt idx="27">
                  <c:v>2033</c:v>
                </c:pt>
                <c:pt idx="28">
                  <c:v>2099</c:v>
                </c:pt>
                <c:pt idx="29">
                  <c:v>2051</c:v>
                </c:pt>
              </c:numCache>
            </c:numRef>
          </c:val>
          <c:smooth val="0"/>
          <c:extLst>
            <c:ext xmlns:c16="http://schemas.microsoft.com/office/drawing/2014/chart" uri="{C3380CC4-5D6E-409C-BE32-E72D297353CC}">
              <c16:uniqueId val="{0000001E-B05B-4681-BCC7-359D7DB06329}"/>
            </c:ext>
          </c:extLst>
        </c:ser>
        <c:ser>
          <c:idx val="2"/>
          <c:order val="2"/>
          <c:tx>
            <c:strRef>
              <c:f>'Candle estick Chart'!$D$2</c:f>
              <c:strCache>
                <c:ptCount val="1"/>
                <c:pt idx="0">
                  <c:v>Low</c:v>
                </c:pt>
              </c:strCache>
            </c:strRef>
          </c:tx>
          <c:spPr>
            <a:ln w="25400" cap="rnd">
              <a:noFill/>
              <a:round/>
            </a:ln>
            <a:effectLst/>
          </c:spPr>
          <c:marker>
            <c:symbol val="none"/>
          </c:marker>
          <c:dLbls>
            <c:dLbl>
              <c:idx val="0"/>
              <c:layout>
                <c:manualLayout>
                  <c:x val="-2.5974025974025979E-2"/>
                  <c:y val="3.1662269129287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B05B-4681-BCC7-359D7DB06329}"/>
                </c:ext>
              </c:extLst>
            </c:dLbl>
            <c:dLbl>
              <c:idx val="1"/>
              <c:layout>
                <c:manualLayout>
                  <c:x val="-2.5974025974025976E-2"/>
                  <c:y val="2.81442392260334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B05B-4681-BCC7-359D7DB06329}"/>
                </c:ext>
              </c:extLst>
            </c:dLbl>
            <c:dLbl>
              <c:idx val="2"/>
              <c:layout>
                <c:manualLayout>
                  <c:x val="-2.1026592455163882E-2"/>
                  <c:y val="3.1662269129287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B05B-4681-BCC7-359D7DB06329}"/>
                </c:ext>
              </c:extLst>
            </c:dLbl>
            <c:dLbl>
              <c:idx val="3"/>
              <c:layout>
                <c:manualLayout>
                  <c:x val="-2.47349823321555E-2"/>
                  <c:y val="3.1662269129287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B05B-4681-BCC7-359D7DB06329}"/>
                </c:ext>
              </c:extLst>
            </c:dLbl>
            <c:dLbl>
              <c:idx val="4"/>
              <c:layout>
                <c:manualLayout>
                  <c:x val="-2.237926972909305E-2"/>
                  <c:y val="2.81442392260334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B05B-4681-BCC7-359D7DB06329}"/>
                </c:ext>
              </c:extLst>
            </c:dLbl>
            <c:dLbl>
              <c:idx val="5"/>
              <c:layout>
                <c:manualLayout>
                  <c:x val="-2.4305555555555556E-2"/>
                  <c:y val="3.1662269129287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B05B-4681-BCC7-359D7DB06329}"/>
                </c:ext>
              </c:extLst>
            </c:dLbl>
            <c:dLbl>
              <c:idx val="6"/>
              <c:layout>
                <c:manualLayout>
                  <c:x val="-2.0833333333333332E-2"/>
                  <c:y val="2.1108179419525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B05B-4681-BCC7-359D7DB06329}"/>
                </c:ext>
              </c:extLst>
            </c:dLbl>
            <c:dLbl>
              <c:idx val="7"/>
              <c:layout>
                <c:manualLayout>
                  <c:x val="-1.789709172259512E-2"/>
                  <c:y val="2.1299254526091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B05B-4681-BCC7-359D7DB06329}"/>
                </c:ext>
              </c:extLst>
            </c:dLbl>
            <c:dLbl>
              <c:idx val="8"/>
              <c:layout>
                <c:manualLayout>
                  <c:x val="-1.4541387024608542E-2"/>
                  <c:y val="2.5559105431309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B05B-4681-BCC7-359D7DB06329}"/>
                </c:ext>
              </c:extLst>
            </c:dLbl>
            <c:dLbl>
              <c:idx val="9"/>
              <c:layout>
                <c:manualLayout>
                  <c:x val="-2.0134228187919503E-2"/>
                  <c:y val="2.3429179978700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B05B-4681-BCC7-359D7DB06329}"/>
                </c:ext>
              </c:extLst>
            </c:dLbl>
            <c:dLbl>
              <c:idx val="10"/>
              <c:layout>
                <c:manualLayout>
                  <c:x val="-2.0134228187919462E-2"/>
                  <c:y val="1.70394036208732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B05B-4681-BCC7-359D7DB06329}"/>
                </c:ext>
              </c:extLst>
            </c:dLbl>
            <c:dLbl>
              <c:idx val="11"/>
              <c:layout>
                <c:manualLayout>
                  <c:x val="-3.0252100840336135E-2"/>
                  <c:y val="1.7173522215032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B05B-4681-BCC7-359D7DB06329}"/>
                </c:ext>
              </c:extLst>
            </c:dLbl>
            <c:dLbl>
              <c:idx val="12"/>
              <c:layout>
                <c:manualLayout>
                  <c:x val="-2.464985994397759E-2"/>
                  <c:y val="1.7173522215032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05B-4681-BCC7-359D7DB06329}"/>
                </c:ext>
              </c:extLst>
            </c:dLbl>
            <c:dLbl>
              <c:idx val="13"/>
              <c:layout>
                <c:manualLayout>
                  <c:x val="-2.8011204481792718E-2"/>
                  <c:y val="2.146690276879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05B-4681-BCC7-359D7DB06329}"/>
                </c:ext>
              </c:extLst>
            </c:dLbl>
            <c:dLbl>
              <c:idx val="14"/>
              <c:layout>
                <c:manualLayout>
                  <c:x val="-2.8011204481792718E-2"/>
                  <c:y val="1.7173522215032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05B-4681-BCC7-359D7DB06329}"/>
                </c:ext>
              </c:extLst>
            </c:dLbl>
            <c:dLbl>
              <c:idx val="15"/>
              <c:layout>
                <c:manualLayout>
                  <c:x val="-2.689075630252109E-2"/>
                  <c:y val="1.9320212491911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05B-4681-BCC7-359D7DB06329}"/>
                </c:ext>
              </c:extLst>
            </c:dLbl>
            <c:dLbl>
              <c:idx val="16"/>
              <c:layout>
                <c:manualLayout>
                  <c:x val="-3.0252100840336218E-2"/>
                  <c:y val="2.146690276879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B05B-4681-BCC7-359D7DB06329}"/>
                </c:ext>
              </c:extLst>
            </c:dLbl>
            <c:dLbl>
              <c:idx val="17"/>
              <c:layout>
                <c:manualLayout>
                  <c:x val="-2.8011204481792798E-2"/>
                  <c:y val="1.9320212491911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B05B-4681-BCC7-359D7DB06329}"/>
                </c:ext>
              </c:extLst>
            </c:dLbl>
            <c:dLbl>
              <c:idx val="18"/>
              <c:layout>
                <c:manualLayout>
                  <c:x val="-2.5770308123249298E-2"/>
                  <c:y val="1.5026831938153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B05B-4681-BCC7-359D7DB06329}"/>
                </c:ext>
              </c:extLst>
            </c:dLbl>
            <c:dLbl>
              <c:idx val="19"/>
              <c:layout>
                <c:manualLayout>
                  <c:x val="-2.5770308123249382E-2"/>
                  <c:y val="1.9320212491911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B05B-4681-BCC7-359D7DB06329}"/>
                </c:ext>
              </c:extLst>
            </c:dLbl>
            <c:dLbl>
              <c:idx val="20"/>
              <c:layout>
                <c:manualLayout>
                  <c:x val="-2.5770308123249219E-2"/>
                  <c:y val="2.1466902768791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B05B-4681-BCC7-359D7DB06329}"/>
                </c:ext>
              </c:extLst>
            </c:dLbl>
            <c:dLbl>
              <c:idx val="21"/>
              <c:layout>
                <c:manualLayout>
                  <c:x val="-3.0252100840336051E-2"/>
                  <c:y val="1.9320212491911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B05B-4681-BCC7-359D7DB06329}"/>
                </c:ext>
              </c:extLst>
            </c:dLbl>
            <c:dLbl>
              <c:idx val="22"/>
              <c:layout>
                <c:manualLayout>
                  <c:x val="-2.689075630252109E-2"/>
                  <c:y val="1.9320212491911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B05B-4681-BCC7-359D7DB06329}"/>
                </c:ext>
              </c:extLst>
            </c:dLbl>
            <c:dLbl>
              <c:idx val="23"/>
              <c:layout>
                <c:manualLayout>
                  <c:x val="-2.689075630252109E-2"/>
                  <c:y val="2.146690276879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B05B-4681-BCC7-359D7DB06329}"/>
                </c:ext>
              </c:extLst>
            </c:dLbl>
            <c:dLbl>
              <c:idx val="24"/>
              <c:layout>
                <c:manualLayout>
                  <c:x val="-2.9131652661064426E-2"/>
                  <c:y val="1.50268319381537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B05B-4681-BCC7-359D7DB06329}"/>
                </c:ext>
              </c:extLst>
            </c:dLbl>
            <c:dLbl>
              <c:idx val="25"/>
              <c:layout>
                <c:manualLayout>
                  <c:x val="-2.8011204481792718E-2"/>
                  <c:y val="2.146690276879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B05B-4681-BCC7-359D7DB06329}"/>
                </c:ext>
              </c:extLst>
            </c:dLbl>
            <c:dLbl>
              <c:idx val="26"/>
              <c:layout>
                <c:manualLayout>
                  <c:x val="-2.689075630252101E-2"/>
                  <c:y val="2.146690276879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B05B-4681-BCC7-359D7DB06329}"/>
                </c:ext>
              </c:extLst>
            </c:dLbl>
            <c:dLbl>
              <c:idx val="27"/>
              <c:layout>
                <c:manualLayout>
                  <c:x val="-2.3489975517766163E-2"/>
                  <c:y val="3.7923058563739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B05B-4681-BCC7-359D7DB06329}"/>
                </c:ext>
              </c:extLst>
            </c:dLbl>
            <c:dLbl>
              <c:idx val="28"/>
              <c:layout>
                <c:manualLayout>
                  <c:x val="-2.5201714500187652E-2"/>
                  <c:y val="4.890921968087314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2737856435495379E-2"/>
                      <c:h val="3.4440861558971803E-2"/>
                    </c:manualLayout>
                  </c15:layout>
                </c:ext>
                <c:ext xmlns:c16="http://schemas.microsoft.com/office/drawing/2014/chart" uri="{C3380CC4-5D6E-409C-BE32-E72D297353CC}">
                  <c16:uniqueId val="{0000003B-B05B-4681-BCC7-359D7DB06329}"/>
                </c:ext>
              </c:extLst>
            </c:dLbl>
            <c:dLbl>
              <c:idx val="29"/>
              <c:layout>
                <c:manualLayout>
                  <c:x val="-2.0134228187919462E-2"/>
                  <c:y val="4.5734388742304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B05B-4681-BCC7-359D7DB0632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'Candle estick Chart'!$A$3:$A$32</c:f>
              <c:numCache>
                <c:formatCode>General</c:formatCode>
                <c:ptCount val="30"/>
                <c:pt idx="0">
                  <c:v>1</c:v>
                </c:pt>
                <c:pt idx="1">
                  <c:v>2</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numCache>
            </c:numRef>
          </c:cat>
          <c:val>
            <c:numRef>
              <c:f>'Candle estick Chart'!$D$3:$D$32</c:f>
              <c:numCache>
                <c:formatCode>General</c:formatCode>
                <c:ptCount val="30"/>
                <c:pt idx="0">
                  <c:v>1850</c:v>
                </c:pt>
                <c:pt idx="1">
                  <c:v>1811</c:v>
                </c:pt>
                <c:pt idx="2">
                  <c:v>1831</c:v>
                </c:pt>
                <c:pt idx="3">
                  <c:v>1803</c:v>
                </c:pt>
                <c:pt idx="4">
                  <c:v>1836</c:v>
                </c:pt>
                <c:pt idx="5">
                  <c:v>1821</c:v>
                </c:pt>
                <c:pt idx="6">
                  <c:v>1833</c:v>
                </c:pt>
                <c:pt idx="7">
                  <c:v>1834</c:v>
                </c:pt>
                <c:pt idx="8">
                  <c:v>1835</c:v>
                </c:pt>
                <c:pt idx="9">
                  <c:v>1850</c:v>
                </c:pt>
                <c:pt idx="10">
                  <c:v>1860</c:v>
                </c:pt>
                <c:pt idx="11">
                  <c:v>1809</c:v>
                </c:pt>
                <c:pt idx="12">
                  <c:v>1815</c:v>
                </c:pt>
                <c:pt idx="13">
                  <c:v>1865</c:v>
                </c:pt>
                <c:pt idx="14">
                  <c:v>1836</c:v>
                </c:pt>
                <c:pt idx="15">
                  <c:v>1871</c:v>
                </c:pt>
                <c:pt idx="16">
                  <c:v>1823</c:v>
                </c:pt>
                <c:pt idx="17">
                  <c:v>1813</c:v>
                </c:pt>
                <c:pt idx="18">
                  <c:v>1819</c:v>
                </c:pt>
                <c:pt idx="19">
                  <c:v>1861</c:v>
                </c:pt>
                <c:pt idx="20">
                  <c:v>1872</c:v>
                </c:pt>
                <c:pt idx="21">
                  <c:v>1806</c:v>
                </c:pt>
                <c:pt idx="22">
                  <c:v>1834</c:v>
                </c:pt>
                <c:pt idx="23">
                  <c:v>1843</c:v>
                </c:pt>
                <c:pt idx="24">
                  <c:v>1812</c:v>
                </c:pt>
                <c:pt idx="25">
                  <c:v>1817</c:v>
                </c:pt>
                <c:pt idx="26">
                  <c:v>1852</c:v>
                </c:pt>
                <c:pt idx="27">
                  <c:v>1822</c:v>
                </c:pt>
                <c:pt idx="28">
                  <c:v>1827</c:v>
                </c:pt>
                <c:pt idx="29">
                  <c:v>1816</c:v>
                </c:pt>
              </c:numCache>
            </c:numRef>
          </c:val>
          <c:smooth val="0"/>
          <c:extLst>
            <c:ext xmlns:c16="http://schemas.microsoft.com/office/drawing/2014/chart" uri="{C3380CC4-5D6E-409C-BE32-E72D297353CC}">
              <c16:uniqueId val="{0000003D-B05B-4681-BCC7-359D7DB06329}"/>
            </c:ext>
          </c:extLst>
        </c:ser>
        <c:dLbls>
          <c:showLegendKey val="0"/>
          <c:showVal val="1"/>
          <c:showCatName val="0"/>
          <c:showSerName val="0"/>
          <c:showPercent val="0"/>
          <c:showBubbleSize val="0"/>
        </c:dLbls>
        <c:hiLowLines>
          <c:spPr>
            <a:ln w="15875" cap="flat" cmpd="sng" algn="ctr">
              <a:solidFill>
                <a:schemeClr val="dk1">
                  <a:lumMod val="65000"/>
                  <a:lumOff val="35000"/>
                </a:schemeClr>
              </a:solidFill>
              <a:round/>
            </a:ln>
            <a:effectLst/>
          </c:spPr>
        </c:hiLowLines>
        <c:upDownBars>
          <c:gapWidth val="150"/>
          <c:upBars>
            <c:spPr>
              <a:solidFill>
                <a:srgbClr val="A50021"/>
              </a:solidFill>
              <a:ln w="9525" cap="flat" cmpd="sng" algn="ctr">
                <a:solidFill>
                  <a:schemeClr val="lt1">
                    <a:lumMod val="85000"/>
                  </a:schemeClr>
                </a:solidFill>
                <a:round/>
              </a:ln>
              <a:effectLst/>
            </c:spPr>
          </c:upBars>
          <c:downBars>
            <c:spPr>
              <a:solidFill>
                <a:srgbClr val="FF0000"/>
              </a:solidFill>
              <a:ln w="9525" cap="flat" cmpd="sng" algn="ctr">
                <a:solidFill>
                  <a:schemeClr val="dk1">
                    <a:lumMod val="65000"/>
                    <a:lumOff val="35000"/>
                  </a:schemeClr>
                </a:solidFill>
                <a:round/>
              </a:ln>
              <a:effectLst/>
            </c:spPr>
          </c:downBars>
        </c:upDownBars>
        <c:axId val="467518368"/>
        <c:axId val="467517712"/>
        <c:extLst>
          <c:ext xmlns:c15="http://schemas.microsoft.com/office/drawing/2012/chart" uri="{02D57815-91ED-43cb-92C2-25804820EDAC}">
            <c15:filteredLineSeries>
              <c15:ser>
                <c:idx val="0"/>
                <c:order val="0"/>
                <c:tx>
                  <c:strRef>
                    <c:extLst>
                      <c:ext uri="{02D57815-91ED-43cb-92C2-25804820EDAC}">
                        <c15:formulaRef>
                          <c15:sqref>'Candle estick Chart'!$B$2</c15:sqref>
                        </c15:formulaRef>
                      </c:ext>
                    </c:extLst>
                    <c:strCache>
                      <c:ptCount val="1"/>
                      <c:pt idx="0">
                        <c:v>Open</c:v>
                      </c:pt>
                    </c:strCache>
                  </c:strRef>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numRef>
                    <c:extLst>
                      <c:ext uri="{02D57815-91ED-43cb-92C2-25804820EDAC}">
                        <c15:formulaRef>
                          <c15:sqref>'Candle estick Chart'!$A$3:$A$32</c15:sqref>
                        </c15:formulaRef>
                      </c:ext>
                    </c:extLst>
                    <c:numCache>
                      <c:formatCode>General</c:formatCode>
                      <c:ptCount val="30"/>
                      <c:pt idx="0">
                        <c:v>1</c:v>
                      </c:pt>
                      <c:pt idx="1">
                        <c:v>2</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numCache>
                  </c:numRef>
                </c:cat>
                <c:val>
                  <c:numRef>
                    <c:extLst>
                      <c:ext uri="{02D57815-91ED-43cb-92C2-25804820EDAC}">
                        <c15:formulaRef>
                          <c15:sqref>'Candle estick Chart'!$B$3:$B$34</c15:sqref>
                        </c15:formulaRef>
                      </c:ext>
                    </c:extLst>
                    <c:numCache>
                      <c:formatCode>General</c:formatCode>
                      <c:ptCount val="32"/>
                      <c:pt idx="0">
                        <c:v>1850</c:v>
                      </c:pt>
                      <c:pt idx="1">
                        <c:v>1811</c:v>
                      </c:pt>
                      <c:pt idx="2">
                        <c:v>1831</c:v>
                      </c:pt>
                      <c:pt idx="3">
                        <c:v>1803</c:v>
                      </c:pt>
                      <c:pt idx="4">
                        <c:v>1836</c:v>
                      </c:pt>
                      <c:pt idx="5">
                        <c:v>1821</c:v>
                      </c:pt>
                      <c:pt idx="6">
                        <c:v>1833</c:v>
                      </c:pt>
                      <c:pt idx="7">
                        <c:v>1834</c:v>
                      </c:pt>
                      <c:pt idx="8">
                        <c:v>1835</c:v>
                      </c:pt>
                      <c:pt idx="9">
                        <c:v>1850</c:v>
                      </c:pt>
                      <c:pt idx="10">
                        <c:v>1860</c:v>
                      </c:pt>
                      <c:pt idx="11">
                        <c:v>1809</c:v>
                      </c:pt>
                      <c:pt idx="12">
                        <c:v>1815</c:v>
                      </c:pt>
                      <c:pt idx="13">
                        <c:v>1865</c:v>
                      </c:pt>
                      <c:pt idx="14">
                        <c:v>1836</c:v>
                      </c:pt>
                      <c:pt idx="15">
                        <c:v>1871</c:v>
                      </c:pt>
                      <c:pt idx="16">
                        <c:v>1823</c:v>
                      </c:pt>
                      <c:pt idx="17">
                        <c:v>1813</c:v>
                      </c:pt>
                      <c:pt idx="18">
                        <c:v>1819</c:v>
                      </c:pt>
                      <c:pt idx="19">
                        <c:v>1861</c:v>
                      </c:pt>
                      <c:pt idx="20">
                        <c:v>1872</c:v>
                      </c:pt>
                      <c:pt idx="21">
                        <c:v>1806</c:v>
                      </c:pt>
                      <c:pt idx="22">
                        <c:v>1834</c:v>
                      </c:pt>
                      <c:pt idx="23">
                        <c:v>1843</c:v>
                      </c:pt>
                      <c:pt idx="24">
                        <c:v>1812</c:v>
                      </c:pt>
                      <c:pt idx="25">
                        <c:v>1817</c:v>
                      </c:pt>
                      <c:pt idx="26">
                        <c:v>1852</c:v>
                      </c:pt>
                      <c:pt idx="27">
                        <c:v>1822</c:v>
                      </c:pt>
                      <c:pt idx="28">
                        <c:v>1827</c:v>
                      </c:pt>
                      <c:pt idx="29">
                        <c:v>1816</c:v>
                      </c:pt>
                      <c:pt idx="31" formatCode="0">
                        <c:v>1832.5666666666666</c:v>
                      </c:pt>
                    </c:numCache>
                  </c:numRef>
                </c:val>
                <c:smooth val="0"/>
                <c:extLst>
                  <c:ext xmlns:c16="http://schemas.microsoft.com/office/drawing/2014/chart" uri="{C3380CC4-5D6E-409C-BE32-E72D297353CC}">
                    <c16:uniqueId val="{0000003E-B05B-4681-BCC7-359D7DB0632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'Candle estick Chart'!$E$2</c15:sqref>
                        </c15:formulaRef>
                      </c:ext>
                    </c:extLst>
                    <c:strCache>
                      <c:ptCount val="1"/>
                      <c:pt idx="0">
                        <c:v>Closed</c:v>
                      </c:pt>
                    </c:strCache>
                  </c:strRef>
                </c:tx>
                <c:spPr>
                  <a:ln w="25400" cap="rnd">
                    <a:noFill/>
                    <a:round/>
                  </a:ln>
                  <a:effectLst/>
                </c:spPr>
                <c:marker>
                  <c:symbol val="none"/>
                </c:marker>
                <c:dLbls>
                  <c:dLbl>
                    <c:idx val="0"/>
                    <c:layout>
                      <c:manualLayout>
                        <c:x val="-2.3500309214594929E-2"/>
                        <c:y val="-4.5734388742304309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E5AC229-FD70-49FA-A228-549D95DEAEFF}" type="VALUE">
                            <a:rPr lang="en-US">
                              <a:solidFill>
                                <a:sysClr val="windowText" lastClr="000000"/>
                              </a:solidFill>
                            </a:rPr>
                            <a:pPr>
                              <a:defRPr>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3F-B05B-4681-BCC7-359D7DB063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extLst xmlns:c15="http://schemas.microsoft.com/office/drawing/2012/chart">
                      <c:ext xmlns:c15="http://schemas.microsoft.com/office/drawing/2012/chart" uri="{02D57815-91ED-43cb-92C2-25804820EDAC}">
                        <c15:formulaRef>
                          <c15:sqref>'Candle estick Chart'!$A$3:$A$32</c15:sqref>
                        </c15:formulaRef>
                      </c:ext>
                    </c:extLst>
                    <c:numCache>
                      <c:formatCode>General</c:formatCode>
                      <c:ptCount val="30"/>
                      <c:pt idx="0">
                        <c:v>1</c:v>
                      </c:pt>
                      <c:pt idx="1">
                        <c:v>2</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numCache>
                  </c:numRef>
                </c:cat>
                <c:val>
                  <c:numRef>
                    <c:extLst xmlns:c15="http://schemas.microsoft.com/office/drawing/2012/chart">
                      <c:ext xmlns:c15="http://schemas.microsoft.com/office/drawing/2012/chart" uri="{02D57815-91ED-43cb-92C2-25804820EDAC}">
                        <c15:formulaRef>
                          <c15:sqref>'Candle estick Chart'!$E$3:$E$32</c15:sqref>
                        </c15:formulaRef>
                      </c:ext>
                    </c:extLst>
                    <c:numCache>
                      <c:formatCode>0</c:formatCode>
                      <c:ptCount val="30"/>
                      <c:pt idx="0">
                        <c:v>2099</c:v>
                      </c:pt>
                      <c:pt idx="1">
                        <c:v>2100</c:v>
                      </c:pt>
                      <c:pt idx="2">
                        <c:v>2110</c:v>
                      </c:pt>
                      <c:pt idx="3">
                        <c:v>2103</c:v>
                      </c:pt>
                      <c:pt idx="4">
                        <c:v>2022</c:v>
                      </c:pt>
                      <c:pt idx="5">
                        <c:v>2078</c:v>
                      </c:pt>
                      <c:pt idx="6">
                        <c:v>2086</c:v>
                      </c:pt>
                      <c:pt idx="7">
                        <c:v>2053</c:v>
                      </c:pt>
                      <c:pt idx="8">
                        <c:v>2100</c:v>
                      </c:pt>
                      <c:pt idx="9">
                        <c:v>2079.9962550617374</c:v>
                      </c:pt>
                      <c:pt idx="10">
                        <c:v>2060.1132733228687</c:v>
                      </c:pt>
                      <c:pt idx="11">
                        <c:v>2044</c:v>
                      </c:pt>
                      <c:pt idx="12">
                        <c:v>2024.3520424824596</c:v>
                      </c:pt>
                      <c:pt idx="13">
                        <c:v>2004.8492926295555</c:v>
                      </c:pt>
                      <c:pt idx="14">
                        <c:v>2105</c:v>
                      </c:pt>
                      <c:pt idx="15">
                        <c:v>2084.6449162312147</c:v>
                      </c:pt>
                      <c:pt idx="16">
                        <c:v>2064.4553466049802</c:v>
                      </c:pt>
                      <c:pt idx="17">
                        <c:v>2105</c:v>
                      </c:pt>
                      <c:pt idx="18">
                        <c:v>2084.5592339138452</c:v>
                      </c:pt>
                      <c:pt idx="19">
                        <c:v>2060</c:v>
                      </c:pt>
                      <c:pt idx="20">
                        <c:v>2039.9526463963614</c:v>
                      </c:pt>
                      <c:pt idx="21">
                        <c:v>2020.0815537053136</c:v>
                      </c:pt>
                      <c:pt idx="22">
                        <c:v>2097</c:v>
                      </c:pt>
                      <c:pt idx="23">
                        <c:v>2076.5390168521594</c:v>
                      </c:pt>
                      <c:pt idx="24">
                        <c:v>2056.2626517840481</c:v>
                      </c:pt>
                      <c:pt idx="25">
                        <c:v>2089</c:v>
                      </c:pt>
                      <c:pt idx="26">
                        <c:v>2063</c:v>
                      </c:pt>
                      <c:pt idx="27">
                        <c:v>2033</c:v>
                      </c:pt>
                      <c:pt idx="28">
                        <c:v>2099</c:v>
                      </c:pt>
                      <c:pt idx="29">
                        <c:v>2051</c:v>
                      </c:pt>
                    </c:numCache>
                  </c:numRef>
                </c:val>
                <c:smooth val="0"/>
                <c:extLst xmlns:c15="http://schemas.microsoft.com/office/drawing/2012/chart">
                  <c:ext xmlns:c16="http://schemas.microsoft.com/office/drawing/2014/chart" uri="{C3380CC4-5D6E-409C-BE32-E72D297353CC}">
                    <c16:uniqueId val="{00000040-B05B-4681-BCC7-359D7DB06329}"/>
                  </c:ext>
                </c:extLst>
              </c15:ser>
            </c15:filteredLineSeries>
          </c:ext>
        </c:extLst>
      </c:stockChart>
      <c:catAx>
        <c:axId val="467518368"/>
        <c:scaling>
          <c:orientation val="minMax"/>
        </c:scaling>
        <c:delete val="0"/>
        <c:axPos val="b"/>
        <c:numFmt formatCode="General"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j-lt"/>
                <a:ea typeface="+mn-ea"/>
                <a:cs typeface="B Nazanin" panose="00000400000000000000" pitchFamily="2" charset="-78"/>
              </a:defRPr>
            </a:pPr>
            <a:endParaRPr lang="en-US"/>
          </a:p>
        </c:txPr>
        <c:crossAx val="467517712"/>
        <c:crosses val="autoZero"/>
        <c:auto val="1"/>
        <c:lblAlgn val="ctr"/>
        <c:lblOffset val="100"/>
        <c:noMultiLvlLbl val="0"/>
      </c:catAx>
      <c:valAx>
        <c:axId val="467517712"/>
        <c:scaling>
          <c:orientation val="minMax"/>
          <c:min val="130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solidFill>
            <a:srgbClr val="CCFFFF"/>
          </a:solid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46751836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legendEntry>
      <c:layout>
        <c:manualLayout>
          <c:xMode val="edge"/>
          <c:yMode val="edge"/>
          <c:x val="0.93110733317426231"/>
          <c:y val="3.1886033791663687E-2"/>
          <c:w val="6.7276300805141076E-2"/>
          <c:h val="0.68087812965396943"/>
        </c:manualLayout>
      </c:layout>
      <c:overlay val="0"/>
      <c:spPr>
        <a:solidFill>
          <a:schemeClr val="bg1">
            <a:lumMod val="85000"/>
            <a:alpha val="39000"/>
          </a:schemeClr>
        </a:solid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954450716370515E-2"/>
          <c:y val="0.1311799976678675"/>
          <c:w val="0.86641059723704106"/>
          <c:h val="0.65990740990289487"/>
        </c:manualLayout>
      </c:layout>
      <c:lineChart>
        <c:grouping val="standard"/>
        <c:varyColors val="0"/>
        <c:ser>
          <c:idx val="1"/>
          <c:order val="0"/>
          <c:tx>
            <c:strRef>
              <c:f>'Candle estick Chart'!$F$2</c:f>
              <c:strCache>
                <c:ptCount val="1"/>
                <c:pt idx="0">
                  <c:v>حد بالا
KW</c:v>
                </c:pt>
              </c:strCache>
            </c:strRef>
          </c:tx>
          <c:spPr>
            <a:ln w="28575" cap="rnd">
              <a:solidFill>
                <a:schemeClr val="accent2"/>
              </a:solidFill>
              <a:round/>
            </a:ln>
            <a:effectLst/>
          </c:spPr>
          <c:marker>
            <c:symbol val="none"/>
          </c:marker>
          <c:dLbls>
            <c:dLbl>
              <c:idx val="0"/>
              <c:layout>
                <c:manualLayout>
                  <c:x val="-1.6608539329171619E-2"/>
                  <c:y val="-6.91020954050200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55E5-41DD-B02F-47D6E83758C5}"/>
                </c:ext>
              </c:extLst>
            </c:dLbl>
            <c:dLbl>
              <c:idx val="1"/>
              <c:delete val="1"/>
              <c:extLst>
                <c:ext xmlns:c15="http://schemas.microsoft.com/office/drawing/2012/chart" uri="{CE6537A1-D6FC-4f65-9D91-7224C49458BB}"/>
                <c:ext xmlns:c16="http://schemas.microsoft.com/office/drawing/2014/chart" uri="{C3380CC4-5D6E-409C-BE32-E72D297353CC}">
                  <c16:uniqueId val="{0000003D-55E5-41DD-B02F-47D6E83758C5}"/>
                </c:ext>
              </c:extLst>
            </c:dLbl>
            <c:dLbl>
              <c:idx val="2"/>
              <c:delete val="1"/>
              <c:extLst>
                <c:ext xmlns:c15="http://schemas.microsoft.com/office/drawing/2012/chart" uri="{CE6537A1-D6FC-4f65-9D91-7224C49458BB}"/>
                <c:ext xmlns:c16="http://schemas.microsoft.com/office/drawing/2014/chart" uri="{C3380CC4-5D6E-409C-BE32-E72D297353CC}">
                  <c16:uniqueId val="{0000003C-55E5-41DD-B02F-47D6E83758C5}"/>
                </c:ext>
              </c:extLst>
            </c:dLbl>
            <c:dLbl>
              <c:idx val="3"/>
              <c:delete val="1"/>
              <c:extLst>
                <c:ext xmlns:c15="http://schemas.microsoft.com/office/drawing/2012/chart" uri="{CE6537A1-D6FC-4f65-9D91-7224C49458BB}"/>
                <c:ext xmlns:c16="http://schemas.microsoft.com/office/drawing/2014/chart" uri="{C3380CC4-5D6E-409C-BE32-E72D297353CC}">
                  <c16:uniqueId val="{0000003B-55E5-41DD-B02F-47D6E83758C5}"/>
                </c:ext>
              </c:extLst>
            </c:dLbl>
            <c:dLbl>
              <c:idx val="4"/>
              <c:delete val="1"/>
              <c:extLst>
                <c:ext xmlns:c15="http://schemas.microsoft.com/office/drawing/2012/chart" uri="{CE6537A1-D6FC-4f65-9D91-7224C49458BB}"/>
                <c:ext xmlns:c16="http://schemas.microsoft.com/office/drawing/2014/chart" uri="{C3380CC4-5D6E-409C-BE32-E72D297353CC}">
                  <c16:uniqueId val="{0000003A-55E5-41DD-B02F-47D6E83758C5}"/>
                </c:ext>
              </c:extLst>
            </c:dLbl>
            <c:dLbl>
              <c:idx val="5"/>
              <c:delete val="1"/>
              <c:extLst>
                <c:ext xmlns:c15="http://schemas.microsoft.com/office/drawing/2012/chart" uri="{CE6537A1-D6FC-4f65-9D91-7224C49458BB}"/>
                <c:ext xmlns:c16="http://schemas.microsoft.com/office/drawing/2014/chart" uri="{C3380CC4-5D6E-409C-BE32-E72D297353CC}">
                  <c16:uniqueId val="{00000039-55E5-41DD-B02F-47D6E83758C5}"/>
                </c:ext>
              </c:extLst>
            </c:dLbl>
            <c:dLbl>
              <c:idx val="6"/>
              <c:delete val="1"/>
              <c:extLst>
                <c:ext xmlns:c15="http://schemas.microsoft.com/office/drawing/2012/chart" uri="{CE6537A1-D6FC-4f65-9D91-7224C49458BB}"/>
                <c:ext xmlns:c16="http://schemas.microsoft.com/office/drawing/2014/chart" uri="{C3380CC4-5D6E-409C-BE32-E72D297353CC}">
                  <c16:uniqueId val="{00000038-55E5-41DD-B02F-47D6E83758C5}"/>
                </c:ext>
              </c:extLst>
            </c:dLbl>
            <c:dLbl>
              <c:idx val="7"/>
              <c:delete val="1"/>
              <c:extLst>
                <c:ext xmlns:c15="http://schemas.microsoft.com/office/drawing/2012/chart" uri="{CE6537A1-D6FC-4f65-9D91-7224C49458BB}"/>
                <c:ext xmlns:c16="http://schemas.microsoft.com/office/drawing/2014/chart" uri="{C3380CC4-5D6E-409C-BE32-E72D297353CC}">
                  <c16:uniqueId val="{00000037-55E5-41DD-B02F-47D6E83758C5}"/>
                </c:ext>
              </c:extLst>
            </c:dLbl>
            <c:dLbl>
              <c:idx val="8"/>
              <c:delete val="1"/>
              <c:extLst>
                <c:ext xmlns:c15="http://schemas.microsoft.com/office/drawing/2012/chart" uri="{CE6537A1-D6FC-4f65-9D91-7224C49458BB}"/>
                <c:ext xmlns:c16="http://schemas.microsoft.com/office/drawing/2014/chart" uri="{C3380CC4-5D6E-409C-BE32-E72D297353CC}">
                  <c16:uniqueId val="{00000036-55E5-41DD-B02F-47D6E83758C5}"/>
                </c:ext>
              </c:extLst>
            </c:dLbl>
            <c:dLbl>
              <c:idx val="9"/>
              <c:delete val="1"/>
              <c:extLst>
                <c:ext xmlns:c15="http://schemas.microsoft.com/office/drawing/2012/chart" uri="{CE6537A1-D6FC-4f65-9D91-7224C49458BB}"/>
                <c:ext xmlns:c16="http://schemas.microsoft.com/office/drawing/2014/chart" uri="{C3380CC4-5D6E-409C-BE32-E72D297353CC}">
                  <c16:uniqueId val="{00000035-55E5-41DD-B02F-47D6E83758C5}"/>
                </c:ext>
              </c:extLst>
            </c:dLbl>
            <c:dLbl>
              <c:idx val="10"/>
              <c:delete val="1"/>
              <c:extLst>
                <c:ext xmlns:c15="http://schemas.microsoft.com/office/drawing/2012/chart" uri="{CE6537A1-D6FC-4f65-9D91-7224C49458BB}"/>
                <c:ext xmlns:c16="http://schemas.microsoft.com/office/drawing/2014/chart" uri="{C3380CC4-5D6E-409C-BE32-E72D297353CC}">
                  <c16:uniqueId val="{00000034-55E5-41DD-B02F-47D6E83758C5}"/>
                </c:ext>
              </c:extLst>
            </c:dLbl>
            <c:dLbl>
              <c:idx val="11"/>
              <c:delete val="1"/>
              <c:extLst>
                <c:ext xmlns:c15="http://schemas.microsoft.com/office/drawing/2012/chart" uri="{CE6537A1-D6FC-4f65-9D91-7224C49458BB}"/>
                <c:ext xmlns:c16="http://schemas.microsoft.com/office/drawing/2014/chart" uri="{C3380CC4-5D6E-409C-BE32-E72D297353CC}">
                  <c16:uniqueId val="{00000033-55E5-41DD-B02F-47D6E83758C5}"/>
                </c:ext>
              </c:extLst>
            </c:dLbl>
            <c:dLbl>
              <c:idx val="12"/>
              <c:delete val="1"/>
              <c:extLst>
                <c:ext xmlns:c15="http://schemas.microsoft.com/office/drawing/2012/chart" uri="{CE6537A1-D6FC-4f65-9D91-7224C49458BB}"/>
                <c:ext xmlns:c16="http://schemas.microsoft.com/office/drawing/2014/chart" uri="{C3380CC4-5D6E-409C-BE32-E72D297353CC}">
                  <c16:uniqueId val="{00000032-55E5-41DD-B02F-47D6E83758C5}"/>
                </c:ext>
              </c:extLst>
            </c:dLbl>
            <c:dLbl>
              <c:idx val="13"/>
              <c:delete val="1"/>
              <c:extLst>
                <c:ext xmlns:c15="http://schemas.microsoft.com/office/drawing/2012/chart" uri="{CE6537A1-D6FC-4f65-9D91-7224C49458BB}"/>
                <c:ext xmlns:c16="http://schemas.microsoft.com/office/drawing/2014/chart" uri="{C3380CC4-5D6E-409C-BE32-E72D297353CC}">
                  <c16:uniqueId val="{00000031-55E5-41DD-B02F-47D6E83758C5}"/>
                </c:ext>
              </c:extLst>
            </c:dLbl>
            <c:dLbl>
              <c:idx val="14"/>
              <c:delete val="1"/>
              <c:extLst>
                <c:ext xmlns:c15="http://schemas.microsoft.com/office/drawing/2012/chart" uri="{CE6537A1-D6FC-4f65-9D91-7224C49458BB}"/>
                <c:ext xmlns:c16="http://schemas.microsoft.com/office/drawing/2014/chart" uri="{C3380CC4-5D6E-409C-BE32-E72D297353CC}">
                  <c16:uniqueId val="{00000030-55E5-41DD-B02F-47D6E83758C5}"/>
                </c:ext>
              </c:extLst>
            </c:dLbl>
            <c:dLbl>
              <c:idx val="15"/>
              <c:delete val="1"/>
              <c:extLst>
                <c:ext xmlns:c15="http://schemas.microsoft.com/office/drawing/2012/chart" uri="{CE6537A1-D6FC-4f65-9D91-7224C49458BB}"/>
                <c:ext xmlns:c16="http://schemas.microsoft.com/office/drawing/2014/chart" uri="{C3380CC4-5D6E-409C-BE32-E72D297353CC}">
                  <c16:uniqueId val="{0000002F-55E5-41DD-B02F-47D6E83758C5}"/>
                </c:ext>
              </c:extLst>
            </c:dLbl>
            <c:dLbl>
              <c:idx val="16"/>
              <c:delete val="1"/>
              <c:extLst>
                <c:ext xmlns:c15="http://schemas.microsoft.com/office/drawing/2012/chart" uri="{CE6537A1-D6FC-4f65-9D91-7224C49458BB}"/>
                <c:ext xmlns:c16="http://schemas.microsoft.com/office/drawing/2014/chart" uri="{C3380CC4-5D6E-409C-BE32-E72D297353CC}">
                  <c16:uniqueId val="{0000002E-55E5-41DD-B02F-47D6E83758C5}"/>
                </c:ext>
              </c:extLst>
            </c:dLbl>
            <c:dLbl>
              <c:idx val="17"/>
              <c:delete val="1"/>
              <c:extLst>
                <c:ext xmlns:c15="http://schemas.microsoft.com/office/drawing/2012/chart" uri="{CE6537A1-D6FC-4f65-9D91-7224C49458BB}"/>
                <c:ext xmlns:c16="http://schemas.microsoft.com/office/drawing/2014/chart" uri="{C3380CC4-5D6E-409C-BE32-E72D297353CC}">
                  <c16:uniqueId val="{0000002D-55E5-41DD-B02F-47D6E83758C5}"/>
                </c:ext>
              </c:extLst>
            </c:dLbl>
            <c:dLbl>
              <c:idx val="18"/>
              <c:delete val="1"/>
              <c:extLst>
                <c:ext xmlns:c15="http://schemas.microsoft.com/office/drawing/2012/chart" uri="{CE6537A1-D6FC-4f65-9D91-7224C49458BB}"/>
                <c:ext xmlns:c16="http://schemas.microsoft.com/office/drawing/2014/chart" uri="{C3380CC4-5D6E-409C-BE32-E72D297353CC}">
                  <c16:uniqueId val="{0000002C-55E5-41DD-B02F-47D6E83758C5}"/>
                </c:ext>
              </c:extLst>
            </c:dLbl>
            <c:dLbl>
              <c:idx val="19"/>
              <c:delete val="1"/>
              <c:extLst>
                <c:ext xmlns:c15="http://schemas.microsoft.com/office/drawing/2012/chart" uri="{CE6537A1-D6FC-4f65-9D91-7224C49458BB}"/>
                <c:ext xmlns:c16="http://schemas.microsoft.com/office/drawing/2014/chart" uri="{C3380CC4-5D6E-409C-BE32-E72D297353CC}">
                  <c16:uniqueId val="{0000002B-55E5-41DD-B02F-47D6E83758C5}"/>
                </c:ext>
              </c:extLst>
            </c:dLbl>
            <c:dLbl>
              <c:idx val="20"/>
              <c:delete val="1"/>
              <c:extLst>
                <c:ext xmlns:c15="http://schemas.microsoft.com/office/drawing/2012/chart" uri="{CE6537A1-D6FC-4f65-9D91-7224C49458BB}"/>
                <c:ext xmlns:c16="http://schemas.microsoft.com/office/drawing/2014/chart" uri="{C3380CC4-5D6E-409C-BE32-E72D297353CC}">
                  <c16:uniqueId val="{0000002A-55E5-41DD-B02F-47D6E83758C5}"/>
                </c:ext>
              </c:extLst>
            </c:dLbl>
            <c:dLbl>
              <c:idx val="21"/>
              <c:delete val="1"/>
              <c:extLst>
                <c:ext xmlns:c15="http://schemas.microsoft.com/office/drawing/2012/chart" uri="{CE6537A1-D6FC-4f65-9D91-7224C49458BB}"/>
                <c:ext xmlns:c16="http://schemas.microsoft.com/office/drawing/2014/chart" uri="{C3380CC4-5D6E-409C-BE32-E72D297353CC}">
                  <c16:uniqueId val="{00000029-55E5-41DD-B02F-47D6E83758C5}"/>
                </c:ext>
              </c:extLst>
            </c:dLbl>
            <c:dLbl>
              <c:idx val="22"/>
              <c:delete val="1"/>
              <c:extLst>
                <c:ext xmlns:c15="http://schemas.microsoft.com/office/drawing/2012/chart" uri="{CE6537A1-D6FC-4f65-9D91-7224C49458BB}"/>
                <c:ext xmlns:c16="http://schemas.microsoft.com/office/drawing/2014/chart" uri="{C3380CC4-5D6E-409C-BE32-E72D297353CC}">
                  <c16:uniqueId val="{00000028-55E5-41DD-B02F-47D6E83758C5}"/>
                </c:ext>
              </c:extLst>
            </c:dLbl>
            <c:dLbl>
              <c:idx val="23"/>
              <c:delete val="1"/>
              <c:extLst>
                <c:ext xmlns:c15="http://schemas.microsoft.com/office/drawing/2012/chart" uri="{CE6537A1-D6FC-4f65-9D91-7224C49458BB}"/>
                <c:ext xmlns:c16="http://schemas.microsoft.com/office/drawing/2014/chart" uri="{C3380CC4-5D6E-409C-BE32-E72D297353CC}">
                  <c16:uniqueId val="{00000027-55E5-41DD-B02F-47D6E83758C5}"/>
                </c:ext>
              </c:extLst>
            </c:dLbl>
            <c:dLbl>
              <c:idx val="24"/>
              <c:delete val="1"/>
              <c:extLst>
                <c:ext xmlns:c15="http://schemas.microsoft.com/office/drawing/2012/chart" uri="{CE6537A1-D6FC-4f65-9D91-7224C49458BB}"/>
                <c:ext xmlns:c16="http://schemas.microsoft.com/office/drawing/2014/chart" uri="{C3380CC4-5D6E-409C-BE32-E72D297353CC}">
                  <c16:uniqueId val="{00000026-55E5-41DD-B02F-47D6E83758C5}"/>
                </c:ext>
              </c:extLst>
            </c:dLbl>
            <c:dLbl>
              <c:idx val="25"/>
              <c:delete val="1"/>
              <c:extLst>
                <c:ext xmlns:c15="http://schemas.microsoft.com/office/drawing/2012/chart" uri="{CE6537A1-D6FC-4f65-9D91-7224C49458BB}"/>
                <c:ext xmlns:c16="http://schemas.microsoft.com/office/drawing/2014/chart" uri="{C3380CC4-5D6E-409C-BE32-E72D297353CC}">
                  <c16:uniqueId val="{00000025-55E5-41DD-B02F-47D6E83758C5}"/>
                </c:ext>
              </c:extLst>
            </c:dLbl>
            <c:dLbl>
              <c:idx val="26"/>
              <c:delete val="1"/>
              <c:extLst>
                <c:ext xmlns:c15="http://schemas.microsoft.com/office/drawing/2012/chart" uri="{CE6537A1-D6FC-4f65-9D91-7224C49458BB}"/>
                <c:ext xmlns:c16="http://schemas.microsoft.com/office/drawing/2014/chart" uri="{C3380CC4-5D6E-409C-BE32-E72D297353CC}">
                  <c16:uniqueId val="{00000024-55E5-41DD-B02F-47D6E83758C5}"/>
                </c:ext>
              </c:extLst>
            </c:dLbl>
            <c:dLbl>
              <c:idx val="27"/>
              <c:delete val="1"/>
              <c:extLst>
                <c:ext xmlns:c15="http://schemas.microsoft.com/office/drawing/2012/chart" uri="{CE6537A1-D6FC-4f65-9D91-7224C49458BB}"/>
                <c:ext xmlns:c16="http://schemas.microsoft.com/office/drawing/2014/chart" uri="{C3380CC4-5D6E-409C-BE32-E72D297353CC}">
                  <c16:uniqueId val="{00000023-55E5-41DD-B02F-47D6E83758C5}"/>
                </c:ext>
              </c:extLst>
            </c:dLbl>
            <c:dLbl>
              <c:idx val="28"/>
              <c:delete val="1"/>
              <c:extLst>
                <c:ext xmlns:c15="http://schemas.microsoft.com/office/drawing/2012/chart" uri="{CE6537A1-D6FC-4f65-9D91-7224C49458BB}"/>
                <c:ext xmlns:c16="http://schemas.microsoft.com/office/drawing/2014/chart" uri="{C3380CC4-5D6E-409C-BE32-E72D297353CC}">
                  <c16:uniqueId val="{00000022-55E5-41DD-B02F-47D6E83758C5}"/>
                </c:ext>
              </c:extLst>
            </c:dLbl>
            <c:dLbl>
              <c:idx val="29"/>
              <c:delete val="1"/>
              <c:extLst>
                <c:ext xmlns:c15="http://schemas.microsoft.com/office/drawing/2012/chart" uri="{CE6537A1-D6FC-4f65-9D91-7224C49458BB}"/>
                <c:ext xmlns:c16="http://schemas.microsoft.com/office/drawing/2014/chart" uri="{C3380CC4-5D6E-409C-BE32-E72D297353CC}">
                  <c16:uniqueId val="{00000021-55E5-41DD-B02F-47D6E83758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'Candle estick Chart'!$F$3:$F$32</c:f>
              <c:numCache>
                <c:formatCode>0</c:formatCode>
                <c:ptCount val="30"/>
                <c:pt idx="0">
                  <c:v>1904</c:v>
                </c:pt>
                <c:pt idx="1">
                  <c:v>1904</c:v>
                </c:pt>
                <c:pt idx="2">
                  <c:v>1904</c:v>
                </c:pt>
                <c:pt idx="3">
                  <c:v>1904</c:v>
                </c:pt>
                <c:pt idx="4">
                  <c:v>1904</c:v>
                </c:pt>
                <c:pt idx="5">
                  <c:v>1904</c:v>
                </c:pt>
                <c:pt idx="6">
                  <c:v>1904</c:v>
                </c:pt>
                <c:pt idx="7">
                  <c:v>1904</c:v>
                </c:pt>
                <c:pt idx="8">
                  <c:v>1904</c:v>
                </c:pt>
                <c:pt idx="9">
                  <c:v>1904</c:v>
                </c:pt>
                <c:pt idx="10">
                  <c:v>1904</c:v>
                </c:pt>
                <c:pt idx="11">
                  <c:v>1904</c:v>
                </c:pt>
                <c:pt idx="12">
                  <c:v>1904</c:v>
                </c:pt>
                <c:pt idx="13">
                  <c:v>1904</c:v>
                </c:pt>
                <c:pt idx="14">
                  <c:v>1904</c:v>
                </c:pt>
                <c:pt idx="15">
                  <c:v>1904</c:v>
                </c:pt>
                <c:pt idx="16">
                  <c:v>1904</c:v>
                </c:pt>
                <c:pt idx="17">
                  <c:v>1904</c:v>
                </c:pt>
                <c:pt idx="18">
                  <c:v>1904</c:v>
                </c:pt>
                <c:pt idx="19">
                  <c:v>1904</c:v>
                </c:pt>
                <c:pt idx="20">
                  <c:v>1904</c:v>
                </c:pt>
                <c:pt idx="21">
                  <c:v>1904</c:v>
                </c:pt>
                <c:pt idx="22">
                  <c:v>1904</c:v>
                </c:pt>
                <c:pt idx="23">
                  <c:v>1904</c:v>
                </c:pt>
                <c:pt idx="24">
                  <c:v>1904</c:v>
                </c:pt>
                <c:pt idx="25">
                  <c:v>1904</c:v>
                </c:pt>
                <c:pt idx="26">
                  <c:v>1904</c:v>
                </c:pt>
                <c:pt idx="27">
                  <c:v>1904</c:v>
                </c:pt>
                <c:pt idx="28">
                  <c:v>1904</c:v>
                </c:pt>
                <c:pt idx="29">
                  <c:v>1904</c:v>
                </c:pt>
              </c:numCache>
            </c:numRef>
          </c:val>
          <c:smooth val="0"/>
          <c:extLst>
            <c:ext xmlns:c16="http://schemas.microsoft.com/office/drawing/2014/chart" uri="{C3380CC4-5D6E-409C-BE32-E72D297353CC}">
              <c16:uniqueId val="{00000000-55E5-41DD-B02F-47D6E83758C5}"/>
            </c:ext>
          </c:extLst>
        </c:ser>
        <c:ser>
          <c:idx val="0"/>
          <c:order val="1"/>
          <c:tx>
            <c:strRef>
              <c:f>'Candle estick Chart'!$G$2</c:f>
              <c:strCache>
                <c:ptCount val="1"/>
                <c:pt idx="0">
                  <c:v>حد پایین
KW</c:v>
                </c:pt>
              </c:strCache>
            </c:strRef>
          </c:tx>
          <c:spPr>
            <a:ln w="28575" cap="rnd">
              <a:solidFill>
                <a:schemeClr val="accent1"/>
              </a:solidFill>
              <a:round/>
            </a:ln>
            <a:effectLst/>
          </c:spPr>
          <c:marker>
            <c:symbol val="none"/>
          </c:marker>
          <c:dLbls>
            <c:dLbl>
              <c:idx val="0"/>
              <c:layout>
                <c:manualLayout>
                  <c:x val="6.1885588165115721E-3"/>
                  <c:y val="-4.150809273840779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55E5-41DD-B02F-47D6E83758C5}"/>
                </c:ext>
              </c:extLst>
            </c:dLbl>
            <c:dLbl>
              <c:idx val="1"/>
              <c:delete val="1"/>
              <c:extLst>
                <c:ext xmlns:c15="http://schemas.microsoft.com/office/drawing/2012/chart" uri="{CE6537A1-D6FC-4f65-9D91-7224C49458BB}"/>
                <c:ext xmlns:c16="http://schemas.microsoft.com/office/drawing/2014/chart" uri="{C3380CC4-5D6E-409C-BE32-E72D297353CC}">
                  <c16:uniqueId val="{0000001F-55E5-41DD-B02F-47D6E83758C5}"/>
                </c:ext>
              </c:extLst>
            </c:dLbl>
            <c:dLbl>
              <c:idx val="2"/>
              <c:delete val="1"/>
              <c:extLst>
                <c:ext xmlns:c15="http://schemas.microsoft.com/office/drawing/2012/chart" uri="{CE6537A1-D6FC-4f65-9D91-7224C49458BB}"/>
                <c:ext xmlns:c16="http://schemas.microsoft.com/office/drawing/2014/chart" uri="{C3380CC4-5D6E-409C-BE32-E72D297353CC}">
                  <c16:uniqueId val="{0000001E-55E5-41DD-B02F-47D6E83758C5}"/>
                </c:ext>
              </c:extLst>
            </c:dLbl>
            <c:dLbl>
              <c:idx val="3"/>
              <c:delete val="1"/>
              <c:extLst>
                <c:ext xmlns:c15="http://schemas.microsoft.com/office/drawing/2012/chart" uri="{CE6537A1-D6FC-4f65-9D91-7224C49458BB}"/>
                <c:ext xmlns:c16="http://schemas.microsoft.com/office/drawing/2014/chart" uri="{C3380CC4-5D6E-409C-BE32-E72D297353CC}">
                  <c16:uniqueId val="{0000001D-55E5-41DD-B02F-47D6E83758C5}"/>
                </c:ext>
              </c:extLst>
            </c:dLbl>
            <c:dLbl>
              <c:idx val="4"/>
              <c:delete val="1"/>
              <c:extLst>
                <c:ext xmlns:c15="http://schemas.microsoft.com/office/drawing/2012/chart" uri="{CE6537A1-D6FC-4f65-9D91-7224C49458BB}"/>
                <c:ext xmlns:c16="http://schemas.microsoft.com/office/drawing/2014/chart" uri="{C3380CC4-5D6E-409C-BE32-E72D297353CC}">
                  <c16:uniqueId val="{0000001A-55E5-41DD-B02F-47D6E83758C5}"/>
                </c:ext>
              </c:extLst>
            </c:dLbl>
            <c:dLbl>
              <c:idx val="5"/>
              <c:delete val="1"/>
              <c:extLst>
                <c:ext xmlns:c15="http://schemas.microsoft.com/office/drawing/2012/chart" uri="{CE6537A1-D6FC-4f65-9D91-7224C49458BB}"/>
                <c:ext xmlns:c16="http://schemas.microsoft.com/office/drawing/2014/chart" uri="{C3380CC4-5D6E-409C-BE32-E72D297353CC}">
                  <c16:uniqueId val="{00000019-55E5-41DD-B02F-47D6E83758C5}"/>
                </c:ext>
              </c:extLst>
            </c:dLbl>
            <c:dLbl>
              <c:idx val="6"/>
              <c:delete val="1"/>
              <c:extLst>
                <c:ext xmlns:c15="http://schemas.microsoft.com/office/drawing/2012/chart" uri="{CE6537A1-D6FC-4f65-9D91-7224C49458BB}"/>
                <c:ext xmlns:c16="http://schemas.microsoft.com/office/drawing/2014/chart" uri="{C3380CC4-5D6E-409C-BE32-E72D297353CC}">
                  <c16:uniqueId val="{00000018-55E5-41DD-B02F-47D6E83758C5}"/>
                </c:ext>
              </c:extLst>
            </c:dLbl>
            <c:dLbl>
              <c:idx val="7"/>
              <c:delete val="1"/>
              <c:extLst>
                <c:ext xmlns:c15="http://schemas.microsoft.com/office/drawing/2012/chart" uri="{CE6537A1-D6FC-4f65-9D91-7224C49458BB}"/>
                <c:ext xmlns:c16="http://schemas.microsoft.com/office/drawing/2014/chart" uri="{C3380CC4-5D6E-409C-BE32-E72D297353CC}">
                  <c16:uniqueId val="{00000017-55E5-41DD-B02F-47D6E83758C5}"/>
                </c:ext>
              </c:extLst>
            </c:dLbl>
            <c:dLbl>
              <c:idx val="8"/>
              <c:delete val="1"/>
              <c:extLst>
                <c:ext xmlns:c15="http://schemas.microsoft.com/office/drawing/2012/chart" uri="{CE6537A1-D6FC-4f65-9D91-7224C49458BB}"/>
                <c:ext xmlns:c16="http://schemas.microsoft.com/office/drawing/2014/chart" uri="{C3380CC4-5D6E-409C-BE32-E72D297353CC}">
                  <c16:uniqueId val="{00000016-55E5-41DD-B02F-47D6E83758C5}"/>
                </c:ext>
              </c:extLst>
            </c:dLbl>
            <c:dLbl>
              <c:idx val="9"/>
              <c:delete val="1"/>
              <c:extLst>
                <c:ext xmlns:c15="http://schemas.microsoft.com/office/drawing/2012/chart" uri="{CE6537A1-D6FC-4f65-9D91-7224C49458BB}"/>
                <c:ext xmlns:c16="http://schemas.microsoft.com/office/drawing/2014/chart" uri="{C3380CC4-5D6E-409C-BE32-E72D297353CC}">
                  <c16:uniqueId val="{00000015-55E5-41DD-B02F-47D6E83758C5}"/>
                </c:ext>
              </c:extLst>
            </c:dLbl>
            <c:dLbl>
              <c:idx val="10"/>
              <c:delete val="1"/>
              <c:extLst>
                <c:ext xmlns:c15="http://schemas.microsoft.com/office/drawing/2012/chart" uri="{CE6537A1-D6FC-4f65-9D91-7224C49458BB}"/>
                <c:ext xmlns:c16="http://schemas.microsoft.com/office/drawing/2014/chart" uri="{C3380CC4-5D6E-409C-BE32-E72D297353CC}">
                  <c16:uniqueId val="{00000014-55E5-41DD-B02F-47D6E83758C5}"/>
                </c:ext>
              </c:extLst>
            </c:dLbl>
            <c:dLbl>
              <c:idx val="11"/>
              <c:delete val="1"/>
              <c:extLst>
                <c:ext xmlns:c15="http://schemas.microsoft.com/office/drawing/2012/chart" uri="{CE6537A1-D6FC-4f65-9D91-7224C49458BB}"/>
                <c:ext xmlns:c16="http://schemas.microsoft.com/office/drawing/2014/chart" uri="{C3380CC4-5D6E-409C-BE32-E72D297353CC}">
                  <c16:uniqueId val="{00000013-55E5-41DD-B02F-47D6E83758C5}"/>
                </c:ext>
              </c:extLst>
            </c:dLbl>
            <c:dLbl>
              <c:idx val="12"/>
              <c:delete val="1"/>
              <c:extLst>
                <c:ext xmlns:c15="http://schemas.microsoft.com/office/drawing/2012/chart" uri="{CE6537A1-D6FC-4f65-9D91-7224C49458BB}"/>
                <c:ext xmlns:c16="http://schemas.microsoft.com/office/drawing/2014/chart" uri="{C3380CC4-5D6E-409C-BE32-E72D297353CC}">
                  <c16:uniqueId val="{00000012-55E5-41DD-B02F-47D6E83758C5}"/>
                </c:ext>
              </c:extLst>
            </c:dLbl>
            <c:dLbl>
              <c:idx val="13"/>
              <c:delete val="1"/>
              <c:extLst>
                <c:ext xmlns:c15="http://schemas.microsoft.com/office/drawing/2012/chart" uri="{CE6537A1-D6FC-4f65-9D91-7224C49458BB}"/>
                <c:ext xmlns:c16="http://schemas.microsoft.com/office/drawing/2014/chart" uri="{C3380CC4-5D6E-409C-BE32-E72D297353CC}">
                  <c16:uniqueId val="{00000011-55E5-41DD-B02F-47D6E83758C5}"/>
                </c:ext>
              </c:extLst>
            </c:dLbl>
            <c:dLbl>
              <c:idx val="14"/>
              <c:delete val="1"/>
              <c:extLst>
                <c:ext xmlns:c15="http://schemas.microsoft.com/office/drawing/2012/chart" uri="{CE6537A1-D6FC-4f65-9D91-7224C49458BB}"/>
                <c:ext xmlns:c16="http://schemas.microsoft.com/office/drawing/2014/chart" uri="{C3380CC4-5D6E-409C-BE32-E72D297353CC}">
                  <c16:uniqueId val="{00000010-55E5-41DD-B02F-47D6E83758C5}"/>
                </c:ext>
              </c:extLst>
            </c:dLbl>
            <c:dLbl>
              <c:idx val="15"/>
              <c:delete val="1"/>
              <c:extLst>
                <c:ext xmlns:c15="http://schemas.microsoft.com/office/drawing/2012/chart" uri="{CE6537A1-D6FC-4f65-9D91-7224C49458BB}"/>
                <c:ext xmlns:c16="http://schemas.microsoft.com/office/drawing/2014/chart" uri="{C3380CC4-5D6E-409C-BE32-E72D297353CC}">
                  <c16:uniqueId val="{0000000F-55E5-41DD-B02F-47D6E83758C5}"/>
                </c:ext>
              </c:extLst>
            </c:dLbl>
            <c:dLbl>
              <c:idx val="16"/>
              <c:delete val="1"/>
              <c:extLst>
                <c:ext xmlns:c15="http://schemas.microsoft.com/office/drawing/2012/chart" uri="{CE6537A1-D6FC-4f65-9D91-7224C49458BB}"/>
                <c:ext xmlns:c16="http://schemas.microsoft.com/office/drawing/2014/chart" uri="{C3380CC4-5D6E-409C-BE32-E72D297353CC}">
                  <c16:uniqueId val="{0000000E-55E5-41DD-B02F-47D6E83758C5}"/>
                </c:ext>
              </c:extLst>
            </c:dLbl>
            <c:dLbl>
              <c:idx val="17"/>
              <c:delete val="1"/>
              <c:extLst>
                <c:ext xmlns:c15="http://schemas.microsoft.com/office/drawing/2012/chart" uri="{CE6537A1-D6FC-4f65-9D91-7224C49458BB}"/>
                <c:ext xmlns:c16="http://schemas.microsoft.com/office/drawing/2014/chart" uri="{C3380CC4-5D6E-409C-BE32-E72D297353CC}">
                  <c16:uniqueId val="{0000000D-55E5-41DD-B02F-47D6E83758C5}"/>
                </c:ext>
              </c:extLst>
            </c:dLbl>
            <c:dLbl>
              <c:idx val="18"/>
              <c:delete val="1"/>
              <c:extLst>
                <c:ext xmlns:c15="http://schemas.microsoft.com/office/drawing/2012/chart" uri="{CE6537A1-D6FC-4f65-9D91-7224C49458BB}"/>
                <c:ext xmlns:c16="http://schemas.microsoft.com/office/drawing/2014/chart" uri="{C3380CC4-5D6E-409C-BE32-E72D297353CC}">
                  <c16:uniqueId val="{0000000C-55E5-41DD-B02F-47D6E83758C5}"/>
                </c:ext>
              </c:extLst>
            </c:dLbl>
            <c:dLbl>
              <c:idx val="19"/>
              <c:delete val="1"/>
              <c:extLst>
                <c:ext xmlns:c15="http://schemas.microsoft.com/office/drawing/2012/chart" uri="{CE6537A1-D6FC-4f65-9D91-7224C49458BB}"/>
                <c:ext xmlns:c16="http://schemas.microsoft.com/office/drawing/2014/chart" uri="{C3380CC4-5D6E-409C-BE32-E72D297353CC}">
                  <c16:uniqueId val="{0000000B-55E5-41DD-B02F-47D6E83758C5}"/>
                </c:ext>
              </c:extLst>
            </c:dLbl>
            <c:dLbl>
              <c:idx val="20"/>
              <c:delete val="1"/>
              <c:extLst>
                <c:ext xmlns:c15="http://schemas.microsoft.com/office/drawing/2012/chart" uri="{CE6537A1-D6FC-4f65-9D91-7224C49458BB}"/>
                <c:ext xmlns:c16="http://schemas.microsoft.com/office/drawing/2014/chart" uri="{C3380CC4-5D6E-409C-BE32-E72D297353CC}">
                  <c16:uniqueId val="{0000000A-55E5-41DD-B02F-47D6E83758C5}"/>
                </c:ext>
              </c:extLst>
            </c:dLbl>
            <c:dLbl>
              <c:idx val="21"/>
              <c:delete val="1"/>
              <c:extLst>
                <c:ext xmlns:c15="http://schemas.microsoft.com/office/drawing/2012/chart" uri="{CE6537A1-D6FC-4f65-9D91-7224C49458BB}"/>
                <c:ext xmlns:c16="http://schemas.microsoft.com/office/drawing/2014/chart" uri="{C3380CC4-5D6E-409C-BE32-E72D297353CC}">
                  <c16:uniqueId val="{00000009-55E5-41DD-B02F-47D6E83758C5}"/>
                </c:ext>
              </c:extLst>
            </c:dLbl>
            <c:dLbl>
              <c:idx val="22"/>
              <c:delete val="1"/>
              <c:extLst>
                <c:ext xmlns:c15="http://schemas.microsoft.com/office/drawing/2012/chart" uri="{CE6537A1-D6FC-4f65-9D91-7224C49458BB}"/>
                <c:ext xmlns:c16="http://schemas.microsoft.com/office/drawing/2014/chart" uri="{C3380CC4-5D6E-409C-BE32-E72D297353CC}">
                  <c16:uniqueId val="{00000008-55E5-41DD-B02F-47D6E83758C5}"/>
                </c:ext>
              </c:extLst>
            </c:dLbl>
            <c:dLbl>
              <c:idx val="23"/>
              <c:delete val="1"/>
              <c:extLst>
                <c:ext xmlns:c15="http://schemas.microsoft.com/office/drawing/2012/chart" uri="{CE6537A1-D6FC-4f65-9D91-7224C49458BB}"/>
                <c:ext xmlns:c16="http://schemas.microsoft.com/office/drawing/2014/chart" uri="{C3380CC4-5D6E-409C-BE32-E72D297353CC}">
                  <c16:uniqueId val="{00000007-55E5-41DD-B02F-47D6E83758C5}"/>
                </c:ext>
              </c:extLst>
            </c:dLbl>
            <c:dLbl>
              <c:idx val="24"/>
              <c:delete val="1"/>
              <c:extLst>
                <c:ext xmlns:c15="http://schemas.microsoft.com/office/drawing/2012/chart" uri="{CE6537A1-D6FC-4f65-9D91-7224C49458BB}"/>
                <c:ext xmlns:c16="http://schemas.microsoft.com/office/drawing/2014/chart" uri="{C3380CC4-5D6E-409C-BE32-E72D297353CC}">
                  <c16:uniqueId val="{00000003-55E5-41DD-B02F-47D6E83758C5}"/>
                </c:ext>
              </c:extLst>
            </c:dLbl>
            <c:dLbl>
              <c:idx val="25"/>
              <c:delete val="1"/>
              <c:extLst>
                <c:ext xmlns:c15="http://schemas.microsoft.com/office/drawing/2012/chart" uri="{CE6537A1-D6FC-4f65-9D91-7224C49458BB}"/>
                <c:ext xmlns:c16="http://schemas.microsoft.com/office/drawing/2014/chart" uri="{C3380CC4-5D6E-409C-BE32-E72D297353CC}">
                  <c16:uniqueId val="{00000004-55E5-41DD-B02F-47D6E83758C5}"/>
                </c:ext>
              </c:extLst>
            </c:dLbl>
            <c:dLbl>
              <c:idx val="26"/>
              <c:delete val="1"/>
              <c:extLst>
                <c:ext xmlns:c15="http://schemas.microsoft.com/office/drawing/2012/chart" uri="{CE6537A1-D6FC-4f65-9D91-7224C49458BB}"/>
                <c:ext xmlns:c16="http://schemas.microsoft.com/office/drawing/2014/chart" uri="{C3380CC4-5D6E-409C-BE32-E72D297353CC}">
                  <c16:uniqueId val="{00000005-55E5-41DD-B02F-47D6E83758C5}"/>
                </c:ext>
              </c:extLst>
            </c:dLbl>
            <c:dLbl>
              <c:idx val="27"/>
              <c:delete val="1"/>
              <c:extLst>
                <c:ext xmlns:c15="http://schemas.microsoft.com/office/drawing/2012/chart" uri="{CE6537A1-D6FC-4f65-9D91-7224C49458BB}"/>
                <c:ext xmlns:c16="http://schemas.microsoft.com/office/drawing/2014/chart" uri="{C3380CC4-5D6E-409C-BE32-E72D297353CC}">
                  <c16:uniqueId val="{00000006-55E5-41DD-B02F-47D6E83758C5}"/>
                </c:ext>
              </c:extLst>
            </c:dLbl>
            <c:dLbl>
              <c:idx val="28"/>
              <c:delete val="1"/>
              <c:extLst>
                <c:ext xmlns:c15="http://schemas.microsoft.com/office/drawing/2012/chart" uri="{CE6537A1-D6FC-4f65-9D91-7224C49458BB}"/>
                <c:ext xmlns:c16="http://schemas.microsoft.com/office/drawing/2014/chart" uri="{C3380CC4-5D6E-409C-BE32-E72D297353CC}">
                  <c16:uniqueId val="{0000001B-55E5-41DD-B02F-47D6E83758C5}"/>
                </c:ext>
              </c:extLst>
            </c:dLbl>
            <c:dLbl>
              <c:idx val="29"/>
              <c:delete val="1"/>
              <c:extLst>
                <c:ext xmlns:c15="http://schemas.microsoft.com/office/drawing/2012/chart" uri="{CE6537A1-D6FC-4f65-9D91-7224C49458BB}"/>
                <c:ext xmlns:c16="http://schemas.microsoft.com/office/drawing/2014/chart" uri="{C3380CC4-5D6E-409C-BE32-E72D297353CC}">
                  <c16:uniqueId val="{0000001C-55E5-41DD-B02F-47D6E83758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6FF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'Candle estick Chart'!$G$3:$G$32</c:f>
              <c:numCache>
                <c:formatCode>0</c:formatCode>
                <c:ptCount val="30"/>
                <c:pt idx="0">
                  <c:v>1440</c:v>
                </c:pt>
                <c:pt idx="1">
                  <c:v>1440</c:v>
                </c:pt>
                <c:pt idx="2">
                  <c:v>1440</c:v>
                </c:pt>
                <c:pt idx="3">
                  <c:v>1440</c:v>
                </c:pt>
                <c:pt idx="4">
                  <c:v>1440</c:v>
                </c:pt>
                <c:pt idx="5">
                  <c:v>1440</c:v>
                </c:pt>
                <c:pt idx="6">
                  <c:v>1440</c:v>
                </c:pt>
                <c:pt idx="7">
                  <c:v>1440</c:v>
                </c:pt>
                <c:pt idx="8">
                  <c:v>1440</c:v>
                </c:pt>
                <c:pt idx="9">
                  <c:v>1440</c:v>
                </c:pt>
                <c:pt idx="10">
                  <c:v>1440</c:v>
                </c:pt>
                <c:pt idx="11">
                  <c:v>1440</c:v>
                </c:pt>
                <c:pt idx="12">
                  <c:v>1440</c:v>
                </c:pt>
                <c:pt idx="13">
                  <c:v>1440</c:v>
                </c:pt>
                <c:pt idx="14">
                  <c:v>1440</c:v>
                </c:pt>
                <c:pt idx="15">
                  <c:v>1440</c:v>
                </c:pt>
                <c:pt idx="16">
                  <c:v>1440</c:v>
                </c:pt>
                <c:pt idx="17">
                  <c:v>1440</c:v>
                </c:pt>
                <c:pt idx="18">
                  <c:v>1440</c:v>
                </c:pt>
                <c:pt idx="19">
                  <c:v>1440</c:v>
                </c:pt>
                <c:pt idx="20">
                  <c:v>1440</c:v>
                </c:pt>
                <c:pt idx="21">
                  <c:v>1440</c:v>
                </c:pt>
                <c:pt idx="22">
                  <c:v>1440</c:v>
                </c:pt>
                <c:pt idx="23">
                  <c:v>1440</c:v>
                </c:pt>
                <c:pt idx="24">
                  <c:v>1440</c:v>
                </c:pt>
                <c:pt idx="25">
                  <c:v>1440</c:v>
                </c:pt>
                <c:pt idx="26">
                  <c:v>1440</c:v>
                </c:pt>
                <c:pt idx="27">
                  <c:v>1440</c:v>
                </c:pt>
                <c:pt idx="28">
                  <c:v>1440</c:v>
                </c:pt>
                <c:pt idx="29">
                  <c:v>1440</c:v>
                </c:pt>
              </c:numCache>
            </c:numRef>
          </c:val>
          <c:smooth val="0"/>
          <c:extLst>
            <c:ext xmlns:c16="http://schemas.microsoft.com/office/drawing/2014/chart" uri="{C3380CC4-5D6E-409C-BE32-E72D297353CC}">
              <c16:uniqueId val="{00000001-55E5-41DD-B02F-47D6E83758C5}"/>
            </c:ext>
          </c:extLst>
        </c:ser>
        <c:dLbls>
          <c:dLblPos val="t"/>
          <c:showLegendKey val="0"/>
          <c:showVal val="1"/>
          <c:showCatName val="0"/>
          <c:showSerName val="0"/>
          <c:showPercent val="0"/>
          <c:showBubbleSize val="0"/>
        </c:dLbls>
        <c:smooth val="0"/>
        <c:axId val="439408680"/>
        <c:axId val="439401136"/>
      </c:lineChart>
      <c:catAx>
        <c:axId val="439408680"/>
        <c:scaling>
          <c:orientation val="minMax"/>
        </c:scaling>
        <c:delete val="1"/>
        <c:axPos val="b"/>
        <c:numFmt formatCode="General" sourceLinked="1"/>
        <c:majorTickMark val="out"/>
        <c:minorTickMark val="none"/>
        <c:tickLblPos val="nextTo"/>
        <c:crossAx val="439401136"/>
        <c:crosses val="autoZero"/>
        <c:auto val="1"/>
        <c:lblAlgn val="ctr"/>
        <c:lblOffset val="100"/>
        <c:noMultiLvlLbl val="0"/>
      </c:catAx>
      <c:valAx>
        <c:axId val="439401136"/>
        <c:scaling>
          <c:orientation val="minMax"/>
          <c:max val="2200"/>
          <c:min val="1300"/>
        </c:scaling>
        <c:delete val="1"/>
        <c:axPos val="l"/>
        <c:numFmt formatCode="0" sourceLinked="1"/>
        <c:majorTickMark val="out"/>
        <c:minorTickMark val="none"/>
        <c:tickLblPos val="nextTo"/>
        <c:crossAx val="439408680"/>
        <c:crosses val="autoZero"/>
        <c:crossBetween val="between"/>
      </c:valAx>
      <c:spPr>
        <a:noFill/>
        <a:ln w="25400">
          <a:noFill/>
        </a:ln>
        <a:effectLst/>
      </c:spPr>
    </c:plotArea>
    <c:legend>
      <c:legendPos val="tr"/>
      <c:legendEntry>
        <c:idx val="0"/>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Entry>
      <c:layout>
        <c:manualLayout>
          <c:xMode val="edge"/>
          <c:yMode val="edge"/>
          <c:x val="1.2198841110094541E-2"/>
          <c:y val="0"/>
          <c:w val="5.0933417577155617E-2"/>
          <c:h val="1"/>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15875" cap="flat" cmpd="sng" algn="ctr">
        <a:solidFill>
          <a:schemeClr val="dk1">
            <a:lumMod val="65000"/>
            <a:lumOff val="35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cap="flat" cmpd="sng" algn="ctr">
        <a:solidFill>
          <a:schemeClr val="lt1">
            <a:lumMod val="85000"/>
          </a:schemeClr>
        </a:solidFill>
        <a:round/>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15240</xdr:colOff>
      <xdr:row>49</xdr:row>
      <xdr:rowOff>9525</xdr:rowOff>
    </xdr:from>
    <xdr:to>
      <xdr:col>28</xdr:col>
      <xdr:colOff>342900</xdr:colOff>
      <xdr:row>57</xdr:row>
      <xdr:rowOff>189486</xdr:rowOff>
    </xdr:to>
    <xdr:graphicFrame macro="">
      <xdr:nvGraphicFramePr>
        <xdr:cNvPr id="4" name="Chart 3">
          <a:extLst>
            <a:ext uri="{FF2B5EF4-FFF2-40B4-BE49-F238E27FC236}">
              <a16:creationId xmlns:a16="http://schemas.microsoft.com/office/drawing/2014/main" id="{5B8AD447-9C01-49FC-9328-1E5302DCA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180975</xdr:colOff>
      <xdr:row>48</xdr:row>
      <xdr:rowOff>191495</xdr:rowOff>
    </xdr:from>
    <xdr:to>
      <xdr:col>29</xdr:col>
      <xdr:colOff>371475</xdr:colOff>
      <xdr:row>57</xdr:row>
      <xdr:rowOff>54335</xdr:rowOff>
    </xdr:to>
    <xdr:graphicFrame macro="">
      <xdr:nvGraphicFramePr>
        <xdr:cNvPr id="3" name="Chart 2">
          <a:extLst>
            <a:ext uri="{FF2B5EF4-FFF2-40B4-BE49-F238E27FC236}">
              <a16:creationId xmlns:a16="http://schemas.microsoft.com/office/drawing/2014/main" id="{36C4F2B6-7DA1-4B6E-9508-6A152517C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IMIS1405-07-12/1405.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رنگ1"/>
      <sheetName val="سیلروPVC"/>
      <sheetName val="پیش رنگ1"/>
      <sheetName val="پیش رنگ3"/>
      <sheetName val="رنگ3"/>
      <sheetName val="1404.02"/>
      <sheetName val="1405.02"/>
      <sheetName val="Sheet3"/>
      <sheetName val="Sheet2"/>
      <sheetName val="Sheet1"/>
      <sheetName val="14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B3" t="str">
            <v>فروردين 1405</v>
          </cell>
          <cell r="F3">
            <v>7</v>
          </cell>
          <cell r="H3">
            <v>0</v>
          </cell>
          <cell r="J3">
            <v>24</v>
          </cell>
        </row>
        <row r="5">
          <cell r="B5" t="str">
            <v>ارديبهشت 1405</v>
          </cell>
          <cell r="F5">
            <v>22</v>
          </cell>
          <cell r="H5">
            <v>1</v>
          </cell>
          <cell r="J5">
            <v>8</v>
          </cell>
        </row>
        <row r="7">
          <cell r="B7" t="str">
            <v>ارديبهشت 1404</v>
          </cell>
          <cell r="F7">
            <v>23</v>
          </cell>
          <cell r="H7">
            <v>2</v>
          </cell>
          <cell r="J7">
            <v>6</v>
          </cell>
        </row>
      </sheetData>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IMSMaster@2026"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7300-FD7E-450B-A2C2-1D63181528FB}">
  <sheetPr codeName="Sheet1"/>
  <dimension ref="A1:BC99"/>
  <sheetViews>
    <sheetView rightToLeft="1" tabSelected="1" view="pageBreakPreview" topLeftCell="A11" zoomScaleNormal="90" zoomScaleSheetLayoutView="100" workbookViewId="0">
      <selection activeCell="N9" sqref="N9:O16"/>
    </sheetView>
  </sheetViews>
  <sheetFormatPr defaultRowHeight="15"/>
  <cols>
    <col min="1" max="1" width="7.42578125" customWidth="1"/>
    <col min="2" max="2" width="8.5703125" bestFit="1" customWidth="1"/>
    <col min="3" max="3" width="6.140625" bestFit="1" customWidth="1"/>
    <col min="4" max="4" width="10.42578125" bestFit="1" customWidth="1"/>
    <col min="5" max="5" width="2.5703125" customWidth="1"/>
    <col min="6" max="6" width="9" customWidth="1"/>
    <col min="7" max="7" width="14.85546875" customWidth="1"/>
    <col min="8" max="8" width="8" bestFit="1" customWidth="1"/>
    <col min="9" max="9" width="5.140625" customWidth="1"/>
    <col min="10" max="10" width="7.28515625" customWidth="1"/>
    <col min="11" max="11" width="2.5703125" customWidth="1"/>
    <col min="12" max="12" width="4.85546875" bestFit="1" customWidth="1"/>
    <col min="13" max="13" width="3.5703125" customWidth="1"/>
    <col min="14" max="14" width="9.140625" customWidth="1"/>
    <col min="15" max="15" width="8.140625" customWidth="1"/>
    <col min="16" max="16" width="8.85546875" bestFit="1" customWidth="1"/>
    <col min="17" max="17" width="9.85546875" customWidth="1"/>
    <col min="19" max="19" width="5.5703125" bestFit="1" customWidth="1"/>
    <col min="20" max="20" width="10.85546875" bestFit="1" customWidth="1"/>
    <col min="21" max="21" width="7.42578125" customWidth="1"/>
    <col min="22" max="22" width="0.7109375" customWidth="1"/>
    <col min="23" max="23" width="7.7109375" bestFit="1" customWidth="1"/>
    <col min="24" max="24" width="8.85546875" customWidth="1"/>
    <col min="25" max="25" width="8.28515625" customWidth="1"/>
    <col min="26" max="29" width="9" customWidth="1"/>
  </cols>
  <sheetData>
    <row r="1" spans="1:47" ht="31.5" customHeight="1" thickBot="1">
      <c r="A1" s="537" t="s">
        <v>381</v>
      </c>
      <c r="B1" s="537"/>
      <c r="C1" s="537"/>
      <c r="D1" s="537"/>
      <c r="E1" s="537"/>
      <c r="F1" s="537"/>
      <c r="G1" s="537"/>
      <c r="H1" s="537"/>
      <c r="I1" s="537"/>
      <c r="J1" s="537"/>
      <c r="K1" s="537"/>
      <c r="L1" s="537"/>
      <c r="M1" s="537"/>
      <c r="N1" s="537"/>
      <c r="O1" s="537"/>
      <c r="P1" s="537"/>
      <c r="Q1" s="537"/>
      <c r="R1" s="537"/>
      <c r="S1" s="537"/>
      <c r="T1" s="537"/>
      <c r="U1" s="537"/>
      <c r="V1" s="537"/>
      <c r="W1" s="537"/>
      <c r="X1" s="537"/>
      <c r="Y1" s="537"/>
      <c r="Z1" s="537"/>
      <c r="AA1" s="537"/>
      <c r="AB1" s="537"/>
      <c r="AC1" s="537"/>
    </row>
    <row r="2" spans="1:47" ht="40.5" customHeight="1" thickTop="1">
      <c r="A2" s="349" t="s">
        <v>98</v>
      </c>
      <c r="B2" s="350"/>
      <c r="C2" s="350"/>
      <c r="D2" s="350"/>
      <c r="E2" s="350"/>
      <c r="F2" s="350"/>
      <c r="G2" s="350"/>
      <c r="H2" s="351"/>
      <c r="I2" s="352" t="s">
        <v>99</v>
      </c>
      <c r="J2" s="350"/>
      <c r="K2" s="350"/>
      <c r="L2" s="350"/>
      <c r="M2" s="350"/>
      <c r="N2" s="350"/>
      <c r="O2" s="350"/>
      <c r="P2" s="350"/>
      <c r="Q2" s="350"/>
      <c r="R2" s="350"/>
      <c r="S2" s="351"/>
      <c r="T2" s="353" t="s">
        <v>100</v>
      </c>
      <c r="U2" s="353"/>
      <c r="V2" s="359" t="s">
        <v>101</v>
      </c>
      <c r="W2" s="359"/>
      <c r="X2" s="359"/>
      <c r="Y2" s="359"/>
      <c r="Z2" s="359"/>
      <c r="AA2" s="359"/>
      <c r="AB2" s="359"/>
      <c r="AC2" s="360"/>
      <c r="AD2" s="104"/>
      <c r="AE2" s="104"/>
      <c r="AF2" s="104"/>
      <c r="AG2" s="104"/>
      <c r="AH2" s="104"/>
      <c r="AI2" s="104"/>
      <c r="AJ2" s="104"/>
      <c r="AK2" s="104"/>
      <c r="AL2" s="104"/>
      <c r="AM2" s="104"/>
      <c r="AN2" s="104"/>
      <c r="AO2" s="104"/>
      <c r="AP2" s="104"/>
      <c r="AQ2" s="104"/>
      <c r="AR2" s="104"/>
      <c r="AS2" s="104"/>
      <c r="AT2" s="104"/>
      <c r="AU2" s="104"/>
    </row>
    <row r="3" spans="1:47" ht="30" customHeight="1" thickBot="1">
      <c r="A3" s="354" t="s">
        <v>102</v>
      </c>
      <c r="B3" s="355"/>
      <c r="C3" s="356" t="s">
        <v>103</v>
      </c>
      <c r="D3" s="356"/>
      <c r="E3" s="185"/>
      <c r="F3" s="186"/>
      <c r="G3" s="401" t="s">
        <v>104</v>
      </c>
      <c r="H3" s="401"/>
      <c r="I3" s="401"/>
      <c r="J3" s="401"/>
      <c r="K3" s="401"/>
      <c r="L3" s="401"/>
      <c r="M3" s="187" t="s">
        <v>105</v>
      </c>
      <c r="N3" s="357" t="s">
        <v>106</v>
      </c>
      <c r="O3" s="357"/>
      <c r="P3" s="188"/>
      <c r="Q3" s="188"/>
      <c r="R3" s="188"/>
      <c r="S3" s="188"/>
      <c r="T3" s="361">
        <v>1405</v>
      </c>
      <c r="U3" s="361"/>
      <c r="V3" s="361"/>
      <c r="W3" s="361"/>
      <c r="X3" s="361"/>
      <c r="Y3" s="361"/>
      <c r="Z3" s="361"/>
      <c r="AA3" s="361"/>
      <c r="AB3" s="361"/>
      <c r="AC3" s="362"/>
      <c r="AD3" s="104"/>
      <c r="AE3" s="104"/>
      <c r="AF3" s="104"/>
      <c r="AG3" s="104"/>
      <c r="AH3" s="104"/>
      <c r="AI3" s="104"/>
      <c r="AJ3" s="104"/>
      <c r="AK3" s="104"/>
      <c r="AL3" s="104"/>
      <c r="AM3" s="104"/>
      <c r="AN3" s="104"/>
      <c r="AO3" s="104"/>
      <c r="AP3" s="104"/>
      <c r="AQ3" s="104"/>
      <c r="AR3" s="104"/>
      <c r="AS3" s="104"/>
      <c r="AT3" s="104"/>
      <c r="AU3" s="104"/>
    </row>
    <row r="4" spans="1:47" ht="35.25" customHeight="1" thickTop="1">
      <c r="A4" s="363" t="s">
        <v>149</v>
      </c>
      <c r="B4" s="364"/>
      <c r="C4" s="364"/>
      <c r="D4" s="364"/>
      <c r="E4" s="364"/>
      <c r="F4" s="364"/>
      <c r="G4" s="364"/>
      <c r="H4" s="364"/>
      <c r="I4" s="364"/>
      <c r="J4" s="364"/>
      <c r="K4" s="364"/>
      <c r="L4" s="364"/>
      <c r="M4" s="364"/>
      <c r="N4" s="364"/>
      <c r="O4" s="364"/>
      <c r="P4" s="364"/>
      <c r="Q4" s="364"/>
      <c r="R4" s="364"/>
      <c r="S4" s="364"/>
      <c r="T4" s="364"/>
      <c r="U4" s="364"/>
      <c r="V4" s="364"/>
      <c r="W4" s="364"/>
      <c r="X4" s="364"/>
      <c r="Y4" s="364"/>
      <c r="Z4" s="364"/>
      <c r="AA4" s="364"/>
      <c r="AB4" s="364"/>
      <c r="AC4" s="365"/>
      <c r="AD4" s="104"/>
      <c r="AE4" s="104"/>
      <c r="AF4" s="104"/>
      <c r="AG4" s="104"/>
      <c r="AH4" s="104"/>
      <c r="AI4" s="104"/>
      <c r="AJ4" s="104"/>
      <c r="AK4" s="104"/>
      <c r="AL4" s="104"/>
      <c r="AM4" s="104"/>
      <c r="AN4" s="104"/>
      <c r="AO4" s="104"/>
      <c r="AP4" s="104"/>
      <c r="AQ4" s="104"/>
      <c r="AR4" s="104"/>
      <c r="AS4" s="104"/>
      <c r="AT4" s="104"/>
      <c r="AU4" s="104"/>
    </row>
    <row r="5" spans="1:47" ht="24" customHeight="1">
      <c r="A5" s="321" t="s">
        <v>0</v>
      </c>
      <c r="B5" s="323" t="s">
        <v>107</v>
      </c>
      <c r="C5" s="324"/>
      <c r="D5" s="327" t="s">
        <v>108</v>
      </c>
      <c r="E5" s="328"/>
      <c r="F5" s="328"/>
      <c r="G5" s="328"/>
      <c r="H5" s="328"/>
      <c r="I5" s="328"/>
      <c r="J5" s="328"/>
      <c r="K5" s="329"/>
      <c r="L5" s="330" t="s">
        <v>109</v>
      </c>
      <c r="M5" s="331"/>
      <c r="N5" s="331"/>
      <c r="O5" s="331"/>
      <c r="P5" s="331"/>
      <c r="Q5" s="331"/>
      <c r="R5" s="331"/>
      <c r="S5" s="331"/>
      <c r="T5" s="331"/>
      <c r="U5" s="366" t="s">
        <v>110</v>
      </c>
      <c r="V5" s="367"/>
      <c r="W5" s="367"/>
      <c r="X5" s="367"/>
      <c r="Y5" s="367"/>
      <c r="Z5" s="367"/>
      <c r="AA5" s="367"/>
      <c r="AB5" s="367"/>
      <c r="AC5" s="368"/>
      <c r="AD5" s="104"/>
      <c r="AE5" s="104"/>
      <c r="AF5" s="104"/>
      <c r="AG5" s="104"/>
      <c r="AH5" s="104"/>
      <c r="AI5" s="104"/>
      <c r="AJ5" s="104"/>
      <c r="AK5" s="104"/>
      <c r="AL5" s="104"/>
      <c r="AM5" s="104"/>
      <c r="AN5" s="104"/>
      <c r="AO5" s="104"/>
      <c r="AP5" s="104"/>
      <c r="AQ5" s="104"/>
      <c r="AR5" s="104"/>
      <c r="AS5" s="104"/>
      <c r="AT5" s="104"/>
      <c r="AU5" s="104"/>
    </row>
    <row r="6" spans="1:47" ht="36.75" customHeight="1">
      <c r="A6" s="322"/>
      <c r="B6" s="325"/>
      <c r="C6" s="326"/>
      <c r="D6" s="332">
        <v>1405</v>
      </c>
      <c r="E6" s="333"/>
      <c r="F6" s="333"/>
      <c r="G6" s="334"/>
      <c r="H6" s="335">
        <v>1404</v>
      </c>
      <c r="I6" s="336"/>
      <c r="J6" s="336"/>
      <c r="K6" s="337"/>
      <c r="L6" s="338" t="s">
        <v>111</v>
      </c>
      <c r="M6" s="339"/>
      <c r="N6" s="340" t="s">
        <v>112</v>
      </c>
      <c r="O6" s="340"/>
      <c r="P6" s="340"/>
      <c r="Q6" s="340"/>
      <c r="R6" s="340"/>
      <c r="S6" s="340"/>
      <c r="T6" s="340"/>
      <c r="U6" s="358" t="s">
        <v>111</v>
      </c>
      <c r="V6" s="358"/>
      <c r="W6" s="369" t="s">
        <v>112</v>
      </c>
      <c r="X6" s="370"/>
      <c r="Y6" s="370"/>
      <c r="Z6" s="370"/>
      <c r="AA6" s="370"/>
      <c r="AB6" s="370"/>
      <c r="AC6" s="371"/>
      <c r="AD6" s="104"/>
      <c r="AE6" s="104"/>
      <c r="AF6" s="104"/>
      <c r="AG6" s="104"/>
      <c r="AH6" s="104"/>
      <c r="AI6" s="104"/>
      <c r="AJ6" s="104"/>
      <c r="AK6" s="104"/>
      <c r="AL6" s="104"/>
      <c r="AM6" s="104"/>
      <c r="AN6" s="104"/>
      <c r="AO6" s="104"/>
      <c r="AP6" s="104"/>
      <c r="AQ6" s="104"/>
      <c r="AR6" s="104"/>
      <c r="AS6" s="104"/>
      <c r="AT6" s="104"/>
      <c r="AU6" s="104"/>
    </row>
    <row r="7" spans="1:47" ht="24.75" customHeight="1">
      <c r="A7" s="322"/>
      <c r="B7" s="325"/>
      <c r="C7" s="326"/>
      <c r="D7" s="421" t="s">
        <v>113</v>
      </c>
      <c r="E7" s="215"/>
      <c r="F7" s="341" t="s">
        <v>114</v>
      </c>
      <c r="G7" s="423" t="s">
        <v>115</v>
      </c>
      <c r="H7" s="421" t="s">
        <v>113</v>
      </c>
      <c r="I7" s="215"/>
      <c r="J7" s="341" t="s">
        <v>114</v>
      </c>
      <c r="K7" s="342"/>
      <c r="L7" s="343" t="s">
        <v>211</v>
      </c>
      <c r="M7" s="344"/>
      <c r="N7" s="347" t="s">
        <v>148</v>
      </c>
      <c r="O7" s="347"/>
      <c r="P7" s="348" t="s">
        <v>116</v>
      </c>
      <c r="Q7" s="348"/>
      <c r="R7" s="348"/>
      <c r="S7" s="348"/>
      <c r="T7" s="348"/>
      <c r="U7" s="344" t="s">
        <v>211</v>
      </c>
      <c r="V7" s="344"/>
      <c r="W7" s="347" t="s">
        <v>148</v>
      </c>
      <c r="X7" s="347"/>
      <c r="Y7" s="348" t="s">
        <v>116</v>
      </c>
      <c r="Z7" s="348"/>
      <c r="AA7" s="348"/>
      <c r="AB7" s="348"/>
      <c r="AC7" s="372"/>
      <c r="AD7" s="104"/>
      <c r="AE7" s="104"/>
      <c r="AF7" s="104"/>
      <c r="AG7" s="104"/>
      <c r="AH7" s="104"/>
      <c r="AI7" s="104"/>
      <c r="AJ7" s="104"/>
      <c r="AK7" s="104"/>
      <c r="AL7" s="104"/>
      <c r="AM7" s="104"/>
      <c r="AN7" s="104"/>
      <c r="AO7" s="104"/>
      <c r="AP7" s="104"/>
      <c r="AQ7" s="104"/>
      <c r="AR7" s="104"/>
      <c r="AS7" s="104"/>
      <c r="AT7" s="104"/>
      <c r="AU7" s="104"/>
    </row>
    <row r="8" spans="1:47" ht="22.5" customHeight="1">
      <c r="A8" s="322"/>
      <c r="B8" s="325"/>
      <c r="C8" s="326"/>
      <c r="D8" s="422"/>
      <c r="E8" s="215"/>
      <c r="F8" s="215"/>
      <c r="G8" s="423"/>
      <c r="H8" s="422"/>
      <c r="I8" s="215"/>
      <c r="J8" s="341"/>
      <c r="K8" s="342"/>
      <c r="L8" s="345"/>
      <c r="M8" s="346"/>
      <c r="N8" s="62" t="s">
        <v>117</v>
      </c>
      <c r="O8" s="62" t="s">
        <v>118</v>
      </c>
      <c r="P8" s="348"/>
      <c r="Q8" s="348"/>
      <c r="R8" s="348"/>
      <c r="S8" s="348"/>
      <c r="T8" s="348"/>
      <c r="U8" s="346"/>
      <c r="V8" s="346"/>
      <c r="W8" s="62" t="s">
        <v>117</v>
      </c>
      <c r="X8" s="62" t="s">
        <v>118</v>
      </c>
      <c r="Y8" s="348"/>
      <c r="Z8" s="348"/>
      <c r="AA8" s="348"/>
      <c r="AB8" s="348"/>
      <c r="AC8" s="372"/>
      <c r="AD8" s="104"/>
      <c r="AE8" s="104"/>
      <c r="AF8" s="104"/>
      <c r="AG8" s="104"/>
      <c r="AH8" s="104"/>
      <c r="AI8" s="104"/>
      <c r="AJ8" s="104"/>
      <c r="AK8" s="104"/>
      <c r="AL8" s="104"/>
      <c r="AM8" s="104"/>
      <c r="AN8" s="104"/>
      <c r="AO8" s="104"/>
      <c r="AP8" s="104"/>
      <c r="AQ8" s="104"/>
      <c r="AR8" s="104"/>
      <c r="AS8" s="104"/>
      <c r="AT8" s="104"/>
      <c r="AU8" s="104"/>
    </row>
    <row r="9" spans="1:47" ht="24.75">
      <c r="A9" s="33">
        <v>1</v>
      </c>
      <c r="B9" s="373" t="s">
        <v>119</v>
      </c>
      <c r="C9" s="374"/>
      <c r="D9" s="375">
        <v>1141200</v>
      </c>
      <c r="E9" s="376"/>
      <c r="F9" s="148">
        <v>78.71973511761054</v>
      </c>
      <c r="G9" s="132">
        <v>14796799200</v>
      </c>
      <c r="H9" s="375">
        <v>1304200</v>
      </c>
      <c r="I9" s="376"/>
      <c r="J9" s="377">
        <v>267.41849497641994</v>
      </c>
      <c r="K9" s="378"/>
      <c r="L9" s="379">
        <v>-12.498083116086489</v>
      </c>
      <c r="M9" s="380"/>
      <c r="N9" s="673">
        <f>Q78</f>
        <v>0.64285714285714279</v>
      </c>
      <c r="O9" s="673">
        <f>R78</f>
        <v>-0.15778771858479057</v>
      </c>
      <c r="P9" s="215"/>
      <c r="Q9" s="215"/>
      <c r="R9" s="215"/>
      <c r="S9" s="215"/>
      <c r="T9" s="215"/>
      <c r="U9" s="380">
        <v>110.47506279947328</v>
      </c>
      <c r="V9" s="380"/>
      <c r="W9" s="673">
        <f>Q76</f>
        <v>2.2857142857142856</v>
      </c>
      <c r="X9" s="673">
        <f>R76</f>
        <v>1.9725240926799263</v>
      </c>
      <c r="Y9" s="215"/>
      <c r="Z9" s="215"/>
      <c r="AA9" s="215"/>
      <c r="AB9" s="215"/>
      <c r="AC9" s="216"/>
      <c r="AD9" s="104"/>
      <c r="AE9" s="104"/>
      <c r="AF9" s="104"/>
      <c r="AG9" s="104"/>
      <c r="AH9" s="104"/>
      <c r="AI9" s="104"/>
      <c r="AJ9" s="104"/>
      <c r="AK9" s="104"/>
      <c r="AL9" s="104"/>
      <c r="AM9" s="104"/>
      <c r="AN9" s="104"/>
      <c r="AO9" s="104"/>
      <c r="AP9" s="104"/>
      <c r="AQ9" s="104"/>
      <c r="AR9" s="104"/>
      <c r="AS9" s="104"/>
      <c r="AT9" s="104"/>
      <c r="AU9" s="104"/>
    </row>
    <row r="10" spans="1:47" ht="24.75">
      <c r="A10" s="381">
        <v>2</v>
      </c>
      <c r="B10" s="382" t="s">
        <v>120</v>
      </c>
      <c r="C10" s="383"/>
      <c r="D10" s="384">
        <v>22</v>
      </c>
      <c r="E10" s="385"/>
      <c r="F10" s="147">
        <v>2.502844141069397E-2</v>
      </c>
      <c r="G10" s="31">
        <v>26355626</v>
      </c>
      <c r="H10" s="384">
        <v>33</v>
      </c>
      <c r="I10" s="385"/>
      <c r="J10" s="386">
        <v>3.7542662116040959E-2</v>
      </c>
      <c r="K10" s="387"/>
      <c r="L10" s="388">
        <v>-33.333333333333336</v>
      </c>
      <c r="M10" s="389"/>
      <c r="N10" s="674"/>
      <c r="O10" s="674"/>
      <c r="P10" s="213"/>
      <c r="Q10" s="213"/>
      <c r="R10" s="213"/>
      <c r="S10" s="213"/>
      <c r="T10" s="213"/>
      <c r="U10" s="389">
        <v>69.230769230769226</v>
      </c>
      <c r="V10" s="389"/>
      <c r="W10" s="674"/>
      <c r="X10" s="674"/>
      <c r="Y10" s="213"/>
      <c r="Z10" s="213"/>
      <c r="AA10" s="213"/>
      <c r="AB10" s="213"/>
      <c r="AC10" s="214"/>
      <c r="AD10" s="104"/>
      <c r="AE10" s="104"/>
      <c r="AF10" s="104"/>
      <c r="AG10" s="104"/>
      <c r="AH10" s="104"/>
      <c r="AI10" s="104"/>
      <c r="AJ10" s="104"/>
      <c r="AK10" s="104"/>
      <c r="AL10" s="104"/>
      <c r="AM10" s="104"/>
      <c r="AN10" s="104"/>
      <c r="AO10" s="104"/>
      <c r="AP10" s="104"/>
      <c r="AQ10" s="104"/>
      <c r="AR10" s="104"/>
      <c r="AS10" s="104"/>
      <c r="AT10" s="104"/>
      <c r="AU10" s="104"/>
    </row>
    <row r="11" spans="1:47" ht="24.75">
      <c r="A11" s="381"/>
      <c r="B11" s="382" t="s">
        <v>121</v>
      </c>
      <c r="C11" s="383"/>
      <c r="D11" s="390">
        <v>2.4146225279192208E-5</v>
      </c>
      <c r="E11" s="391"/>
      <c r="F11" s="148">
        <v>1.6656015230180182E-9</v>
      </c>
      <c r="G11" s="32">
        <v>0</v>
      </c>
      <c r="H11" s="390">
        <v>0</v>
      </c>
      <c r="I11" s="391"/>
      <c r="J11" s="377">
        <v>0</v>
      </c>
      <c r="K11" s="378"/>
      <c r="L11" s="379">
        <v>0</v>
      </c>
      <c r="M11" s="380"/>
      <c r="N11" s="674"/>
      <c r="O11" s="674"/>
      <c r="P11" s="215"/>
      <c r="Q11" s="215"/>
      <c r="R11" s="215"/>
      <c r="S11" s="215"/>
      <c r="T11" s="215"/>
      <c r="U11" s="380">
        <v>0</v>
      </c>
      <c r="V11" s="380"/>
      <c r="W11" s="674"/>
      <c r="X11" s="674"/>
      <c r="Y11" s="215"/>
      <c r="Z11" s="215"/>
      <c r="AA11" s="215"/>
      <c r="AB11" s="215"/>
      <c r="AC11" s="216"/>
      <c r="AD11" s="104"/>
      <c r="AE11" s="104"/>
      <c r="AF11" s="104"/>
      <c r="AG11" s="104"/>
      <c r="AH11" s="104"/>
      <c r="AI11" s="104"/>
      <c r="AJ11" s="104"/>
      <c r="AK11" s="104"/>
      <c r="AL11" s="104"/>
      <c r="AM11" s="104"/>
      <c r="AN11" s="104"/>
      <c r="AO11" s="104"/>
      <c r="AP11" s="104"/>
      <c r="AQ11" s="104"/>
      <c r="AR11" s="104"/>
      <c r="AS11" s="104"/>
      <c r="AT11" s="104"/>
      <c r="AU11" s="104"/>
    </row>
    <row r="12" spans="1:47" ht="24.75">
      <c r="A12" s="381"/>
      <c r="B12" s="382" t="s">
        <v>122</v>
      </c>
      <c r="C12" s="383"/>
      <c r="D12" s="384">
        <v>609</v>
      </c>
      <c r="E12" s="385"/>
      <c r="F12" s="147">
        <v>4.2008691453404155E-2</v>
      </c>
      <c r="G12" s="31">
        <v>729571647</v>
      </c>
      <c r="H12" s="384">
        <v>556</v>
      </c>
      <c r="I12" s="385"/>
      <c r="J12" s="386">
        <v>0.11400451096985852</v>
      </c>
      <c r="K12" s="387"/>
      <c r="L12" s="392">
        <v>9.5323741007194318</v>
      </c>
      <c r="M12" s="393"/>
      <c r="N12" s="674"/>
      <c r="O12" s="674"/>
      <c r="P12" s="213"/>
      <c r="Q12" s="213"/>
      <c r="R12" s="213"/>
      <c r="S12" s="213"/>
      <c r="T12" s="213"/>
      <c r="U12" s="393">
        <v>55.357142857142861</v>
      </c>
      <c r="V12" s="393"/>
      <c r="W12" s="674"/>
      <c r="X12" s="674"/>
      <c r="Y12" s="213"/>
      <c r="Z12" s="213"/>
      <c r="AA12" s="213"/>
      <c r="AB12" s="213"/>
      <c r="AC12" s="214"/>
      <c r="AD12" s="104"/>
      <c r="AE12" s="104"/>
      <c r="AF12" s="104"/>
      <c r="AG12" s="104"/>
      <c r="AH12" s="104"/>
      <c r="AI12" s="104"/>
      <c r="AJ12" s="104"/>
      <c r="AK12" s="104"/>
      <c r="AL12" s="104"/>
      <c r="AM12" s="104"/>
      <c r="AN12" s="104"/>
      <c r="AO12" s="104"/>
      <c r="AP12" s="104"/>
      <c r="AQ12" s="104"/>
      <c r="AR12" s="104"/>
      <c r="AS12" s="104"/>
      <c r="AT12" s="104"/>
      <c r="AU12" s="104"/>
    </row>
    <row r="13" spans="1:47" ht="24.75">
      <c r="A13" s="381"/>
      <c r="B13" s="382" t="s">
        <v>123</v>
      </c>
      <c r="C13" s="383"/>
      <c r="D13" s="390">
        <v>1946</v>
      </c>
      <c r="E13" s="391"/>
      <c r="F13" s="148">
        <v>0.13423466924191213</v>
      </c>
      <c r="G13" s="32">
        <v>1406023920</v>
      </c>
      <c r="H13" s="390">
        <v>3133</v>
      </c>
      <c r="I13" s="391"/>
      <c r="J13" s="377">
        <v>0.6424031166700841</v>
      </c>
      <c r="K13" s="378"/>
      <c r="L13" s="394">
        <v>-37.887009256303863</v>
      </c>
      <c r="M13" s="395"/>
      <c r="N13" s="674"/>
      <c r="O13" s="674"/>
      <c r="P13" s="215"/>
      <c r="Q13" s="215"/>
      <c r="R13" s="215"/>
      <c r="S13" s="215"/>
      <c r="T13" s="215"/>
      <c r="U13" s="395">
        <v>56.054530874097843</v>
      </c>
      <c r="V13" s="395"/>
      <c r="W13" s="674"/>
      <c r="X13" s="674"/>
      <c r="Y13" s="215"/>
      <c r="Z13" s="215"/>
      <c r="AA13" s="215"/>
      <c r="AB13" s="215"/>
      <c r="AC13" s="216"/>
      <c r="AD13" s="104"/>
      <c r="AE13" s="104"/>
      <c r="AF13" s="104"/>
      <c r="AG13" s="104"/>
      <c r="AH13" s="104"/>
      <c r="AI13" s="104"/>
      <c r="AJ13" s="104"/>
      <c r="AK13" s="104"/>
      <c r="AL13" s="104"/>
      <c r="AM13" s="104"/>
      <c r="AN13" s="104"/>
      <c r="AO13" s="104"/>
      <c r="AP13" s="104"/>
      <c r="AQ13" s="104"/>
      <c r="AR13" s="104"/>
      <c r="AS13" s="104"/>
      <c r="AT13" s="104"/>
      <c r="AU13" s="104"/>
    </row>
    <row r="14" spans="1:47" ht="24.75">
      <c r="A14" s="381"/>
      <c r="B14" s="382" t="s">
        <v>124</v>
      </c>
      <c r="C14" s="383"/>
      <c r="D14" s="384">
        <v>51</v>
      </c>
      <c r="E14" s="385"/>
      <c r="F14" s="147">
        <v>3.5179692350141407E-3</v>
      </c>
      <c r="G14" s="31">
        <v>92413.683000000005</v>
      </c>
      <c r="H14" s="384">
        <v>0</v>
      </c>
      <c r="I14" s="385"/>
      <c r="J14" s="386">
        <v>0</v>
      </c>
      <c r="K14" s="387"/>
      <c r="L14" s="399" t="e">
        <v>#DIV/0!</v>
      </c>
      <c r="M14" s="400"/>
      <c r="N14" s="674"/>
      <c r="O14" s="674"/>
      <c r="P14" s="213"/>
      <c r="Q14" s="213"/>
      <c r="R14" s="213"/>
      <c r="S14" s="213"/>
      <c r="T14" s="213"/>
      <c r="U14" s="396">
        <v>0</v>
      </c>
      <c r="V14" s="396"/>
      <c r="W14" s="674"/>
      <c r="X14" s="674"/>
      <c r="Y14" s="213"/>
      <c r="Z14" s="213"/>
      <c r="AA14" s="213"/>
      <c r="AB14" s="213"/>
      <c r="AC14" s="214"/>
      <c r="AD14" s="104"/>
      <c r="AE14" s="104"/>
      <c r="AF14" s="104"/>
      <c r="AG14" s="104"/>
      <c r="AH14" s="104"/>
      <c r="AI14" s="104"/>
      <c r="AJ14" s="104"/>
      <c r="AK14" s="104"/>
      <c r="AL14" s="104"/>
      <c r="AM14" s="104"/>
      <c r="AN14" s="104"/>
      <c r="AO14" s="104"/>
      <c r="AP14" s="104"/>
      <c r="AQ14" s="104"/>
      <c r="AR14" s="104"/>
      <c r="AS14" s="104"/>
      <c r="AT14" s="104"/>
      <c r="AU14" s="104"/>
    </row>
    <row r="15" spans="1:47" ht="24.75">
      <c r="A15" s="34">
        <v>3</v>
      </c>
      <c r="B15" s="397" t="s">
        <v>125</v>
      </c>
      <c r="C15" s="398"/>
      <c r="D15" s="390">
        <v>395570.86200000002</v>
      </c>
      <c r="E15" s="391"/>
      <c r="F15" s="36">
        <v>27.286394564392634</v>
      </c>
      <c r="G15" s="131">
        <v>12870357853.881811</v>
      </c>
      <c r="H15" s="390">
        <v>392965.52799999999</v>
      </c>
      <c r="I15" s="391"/>
      <c r="J15" s="377">
        <v>80.575256920237848</v>
      </c>
      <c r="K15" s="378"/>
      <c r="L15" s="394">
        <v>0.66299301449159742</v>
      </c>
      <c r="M15" s="395"/>
      <c r="N15" s="674"/>
      <c r="O15" s="674"/>
      <c r="P15" s="215" t="s">
        <v>380</v>
      </c>
      <c r="Q15" s="215"/>
      <c r="R15" s="215"/>
      <c r="S15" s="215"/>
      <c r="T15" s="215"/>
      <c r="U15" s="395">
        <v>-26.133983269705784</v>
      </c>
      <c r="V15" s="395"/>
      <c r="W15" s="674"/>
      <c r="X15" s="674"/>
      <c r="Y15" s="215"/>
      <c r="Z15" s="215"/>
      <c r="AA15" s="215"/>
      <c r="AB15" s="215"/>
      <c r="AC15" s="216"/>
      <c r="AD15" s="104"/>
      <c r="AE15" s="104"/>
      <c r="AF15" s="104"/>
      <c r="AG15" s="104"/>
      <c r="AH15" s="104"/>
      <c r="AI15" s="104"/>
      <c r="AJ15" s="104"/>
      <c r="AK15" s="104"/>
      <c r="AL15" s="104"/>
      <c r="AM15" s="104"/>
      <c r="AN15" s="104"/>
      <c r="AO15" s="104"/>
      <c r="AP15" s="104"/>
      <c r="AQ15" s="104"/>
      <c r="AR15" s="104"/>
      <c r="AS15" s="104"/>
      <c r="AT15" s="104"/>
      <c r="AU15" s="104"/>
    </row>
    <row r="16" spans="1:47" ht="24.75">
      <c r="A16" s="35">
        <v>4</v>
      </c>
      <c r="B16" s="418" t="s">
        <v>126</v>
      </c>
      <c r="C16" s="419"/>
      <c r="D16" s="384">
        <v>969850</v>
      </c>
      <c r="E16" s="385"/>
      <c r="F16" s="148">
        <v>66.90004828585225</v>
      </c>
      <c r="G16" s="31">
        <v>2054142300</v>
      </c>
      <c r="H16" s="384">
        <v>1382167.5</v>
      </c>
      <c r="I16" s="385"/>
      <c r="J16" s="386">
        <v>283.40526963297111</v>
      </c>
      <c r="K16" s="387"/>
      <c r="L16" s="420">
        <v>-29.83122523138476</v>
      </c>
      <c r="M16" s="396"/>
      <c r="N16" s="675"/>
      <c r="O16" s="675"/>
      <c r="P16" s="213"/>
      <c r="Q16" s="213"/>
      <c r="R16" s="213"/>
      <c r="S16" s="213"/>
      <c r="T16" s="213"/>
      <c r="U16" s="396">
        <v>117.79723534385282</v>
      </c>
      <c r="V16" s="396"/>
      <c r="W16" s="675"/>
      <c r="X16" s="675"/>
      <c r="Y16" s="213"/>
      <c r="Z16" s="213"/>
      <c r="AA16" s="213"/>
      <c r="AB16" s="213"/>
      <c r="AC16" s="214"/>
      <c r="AD16" s="104"/>
      <c r="AE16" s="104"/>
      <c r="AF16" s="104"/>
      <c r="AG16" s="104"/>
      <c r="AH16" s="104"/>
      <c r="AI16" s="104"/>
      <c r="AJ16" s="104"/>
      <c r="AK16" s="104"/>
      <c r="AL16" s="104"/>
      <c r="AM16" s="104"/>
      <c r="AN16" s="104"/>
      <c r="AO16" s="104"/>
      <c r="AP16" s="104"/>
      <c r="AQ16" s="104"/>
      <c r="AR16" s="104"/>
      <c r="AS16" s="104"/>
      <c r="AT16" s="104"/>
      <c r="AU16" s="104"/>
    </row>
    <row r="17" spans="1:47" ht="24.75" customHeight="1" thickBot="1">
      <c r="A17" s="402" t="s">
        <v>127</v>
      </c>
      <c r="B17" s="403"/>
      <c r="C17" s="403"/>
      <c r="D17" s="403"/>
      <c r="E17" s="403"/>
      <c r="F17" s="404"/>
      <c r="G17" s="405">
        <v>31883342960.564812</v>
      </c>
      <c r="H17" s="406"/>
      <c r="I17" s="406"/>
      <c r="J17" s="195"/>
      <c r="K17" s="217"/>
      <c r="L17" s="217"/>
      <c r="M17" s="217"/>
      <c r="N17" s="217"/>
      <c r="O17" s="217"/>
      <c r="P17" s="217"/>
      <c r="Q17" s="217"/>
      <c r="R17" s="217"/>
      <c r="S17" s="217"/>
      <c r="T17" s="217"/>
      <c r="U17" s="217"/>
      <c r="V17" s="217"/>
      <c r="W17" s="217"/>
      <c r="X17" s="217"/>
      <c r="Y17" s="217"/>
      <c r="Z17" s="217"/>
      <c r="AA17" s="217"/>
      <c r="AB17" s="217"/>
      <c r="AC17" s="218"/>
      <c r="AD17" s="104"/>
      <c r="AE17" s="104"/>
      <c r="AF17" s="104"/>
      <c r="AG17" s="104"/>
      <c r="AH17" s="104"/>
      <c r="AI17" s="104"/>
      <c r="AJ17" s="104"/>
      <c r="AK17" s="104"/>
      <c r="AL17" s="104"/>
      <c r="AM17" s="104"/>
      <c r="AN17" s="104"/>
      <c r="AO17" s="104"/>
      <c r="AP17" s="104"/>
      <c r="AQ17" s="104"/>
      <c r="AR17" s="104"/>
      <c r="AS17" s="104"/>
      <c r="AT17" s="104"/>
      <c r="AU17" s="104"/>
    </row>
    <row r="18" spans="1:47" ht="35.25" customHeight="1" thickTop="1" thickBot="1">
      <c r="A18" s="286" t="s">
        <v>128</v>
      </c>
      <c r="B18" s="287"/>
      <c r="C18" s="287"/>
      <c r="D18" s="287"/>
      <c r="E18" s="287"/>
      <c r="F18" s="287"/>
      <c r="G18" s="287"/>
      <c r="H18" s="287"/>
      <c r="I18" s="287"/>
      <c r="J18" s="287"/>
      <c r="K18" s="287"/>
      <c r="L18" s="287"/>
      <c r="M18" s="287"/>
      <c r="N18" s="287"/>
      <c r="O18" s="287"/>
      <c r="P18" s="287"/>
      <c r="Q18" s="287"/>
      <c r="R18" s="287"/>
      <c r="S18" s="287"/>
      <c r="T18" s="287"/>
      <c r="U18" s="287"/>
      <c r="V18" s="287"/>
      <c r="W18" s="287"/>
      <c r="X18" s="287"/>
      <c r="Y18" s="287"/>
      <c r="Z18" s="287"/>
      <c r="AA18" s="287"/>
      <c r="AB18" s="287"/>
      <c r="AC18" s="288"/>
      <c r="AD18" s="104"/>
      <c r="AE18" s="104"/>
      <c r="AF18" s="104"/>
      <c r="AG18" s="104"/>
      <c r="AH18" s="104"/>
      <c r="AI18" s="104"/>
      <c r="AJ18" s="104"/>
      <c r="AK18" s="104"/>
      <c r="AL18" s="104"/>
      <c r="AM18" s="104"/>
      <c r="AN18" s="104"/>
      <c r="AO18" s="104"/>
      <c r="AP18" s="104"/>
      <c r="AQ18" s="104"/>
      <c r="AR18" s="104"/>
      <c r="AS18" s="104"/>
      <c r="AT18" s="104"/>
      <c r="AU18" s="104"/>
    </row>
    <row r="19" spans="1:47" ht="59.25" thickTop="1">
      <c r="A19" s="189" t="s">
        <v>31</v>
      </c>
      <c r="B19" s="415" t="s">
        <v>32</v>
      </c>
      <c r="C19" s="415"/>
      <c r="D19" s="416" t="s">
        <v>33</v>
      </c>
      <c r="E19" s="416"/>
      <c r="F19" s="416"/>
      <c r="G19" s="416"/>
      <c r="H19" s="416"/>
      <c r="I19" s="190" t="s">
        <v>129</v>
      </c>
      <c r="J19" s="415" t="s">
        <v>130</v>
      </c>
      <c r="K19" s="415"/>
      <c r="L19" s="191" t="s">
        <v>131</v>
      </c>
      <c r="M19" s="417" t="s">
        <v>132</v>
      </c>
      <c r="N19" s="417"/>
      <c r="O19" s="466" t="s">
        <v>133</v>
      </c>
      <c r="P19" s="466"/>
      <c r="Q19" s="466" t="s">
        <v>134</v>
      </c>
      <c r="R19" s="466"/>
      <c r="S19" s="192" t="s">
        <v>135</v>
      </c>
      <c r="T19" s="193" t="s">
        <v>136</v>
      </c>
      <c r="U19" s="466" t="s">
        <v>137</v>
      </c>
      <c r="V19" s="466"/>
      <c r="W19" s="466"/>
      <c r="X19" s="194" t="s">
        <v>138</v>
      </c>
      <c r="Y19" s="274" t="s">
        <v>52</v>
      </c>
      <c r="Z19" s="275"/>
      <c r="AA19" s="275"/>
      <c r="AB19" s="275"/>
      <c r="AC19" s="276"/>
      <c r="AD19" s="104"/>
      <c r="AE19" s="104"/>
      <c r="AF19" s="104"/>
      <c r="AG19" s="104"/>
      <c r="AH19" s="104"/>
      <c r="AI19" s="104"/>
      <c r="AJ19" s="104"/>
      <c r="AK19" s="104"/>
      <c r="AL19" s="104"/>
      <c r="AM19" s="104"/>
      <c r="AN19" s="104"/>
      <c r="AO19" s="104"/>
      <c r="AP19" s="104"/>
      <c r="AQ19" s="104"/>
      <c r="AR19" s="104"/>
      <c r="AS19" s="104"/>
      <c r="AT19" s="104"/>
      <c r="AU19" s="104"/>
    </row>
    <row r="20" spans="1:47" ht="21" customHeight="1">
      <c r="A20" s="467">
        <v>1</v>
      </c>
      <c r="B20" s="407" t="s">
        <v>54</v>
      </c>
      <c r="C20" s="408"/>
      <c r="D20" s="431" t="s">
        <v>55</v>
      </c>
      <c r="E20" s="432"/>
      <c r="F20" s="432"/>
      <c r="G20" s="432"/>
      <c r="H20" s="433"/>
      <c r="I20" s="29" t="s">
        <v>10</v>
      </c>
      <c r="J20" s="409">
        <v>1200</v>
      </c>
      <c r="K20" s="410"/>
      <c r="L20" s="103" t="s">
        <v>59</v>
      </c>
      <c r="M20" s="413">
        <v>1500000</v>
      </c>
      <c r="N20" s="414"/>
      <c r="O20" s="277"/>
      <c r="P20" s="440"/>
      <c r="Q20" s="277"/>
      <c r="R20" s="440"/>
      <c r="S20" s="443">
        <v>100</v>
      </c>
      <c r="T20" s="453">
        <v>14021913951</v>
      </c>
      <c r="U20" s="456">
        <v>12119</v>
      </c>
      <c r="V20" s="457"/>
      <c r="W20" s="458"/>
      <c r="X20" s="424" t="s">
        <v>139</v>
      </c>
      <c r="Y20" s="277"/>
      <c r="Z20" s="278"/>
      <c r="AA20" s="278"/>
      <c r="AB20" s="278"/>
      <c r="AC20" s="279"/>
      <c r="AD20" s="104"/>
      <c r="AE20" s="104"/>
      <c r="AF20" s="104"/>
      <c r="AG20" s="104"/>
      <c r="AH20" s="104"/>
      <c r="AI20" s="104"/>
      <c r="AJ20" s="104"/>
      <c r="AK20" s="104"/>
      <c r="AL20" s="104"/>
      <c r="AM20" s="104"/>
      <c r="AN20" s="104"/>
      <c r="AO20" s="104"/>
      <c r="AP20" s="104"/>
      <c r="AQ20" s="104"/>
      <c r="AR20" s="104"/>
      <c r="AS20" s="104"/>
      <c r="AT20" s="104"/>
      <c r="AU20" s="104"/>
    </row>
    <row r="21" spans="1:47" ht="21" customHeight="1">
      <c r="A21" s="468"/>
      <c r="B21" s="407" t="s">
        <v>66</v>
      </c>
      <c r="C21" s="408"/>
      <c r="D21" s="434"/>
      <c r="E21" s="435"/>
      <c r="F21" s="435"/>
      <c r="G21" s="435"/>
      <c r="H21" s="436"/>
      <c r="I21" s="29" t="s">
        <v>16</v>
      </c>
      <c r="J21" s="409" t="s">
        <v>60</v>
      </c>
      <c r="K21" s="410"/>
      <c r="L21" s="16" t="s">
        <v>67</v>
      </c>
      <c r="M21" s="413"/>
      <c r="N21" s="414"/>
      <c r="O21" s="280"/>
      <c r="P21" s="441"/>
      <c r="Q21" s="280"/>
      <c r="R21" s="441"/>
      <c r="S21" s="444"/>
      <c r="T21" s="454"/>
      <c r="U21" s="459"/>
      <c r="V21" s="460"/>
      <c r="W21" s="461"/>
      <c r="X21" s="425"/>
      <c r="Y21" s="280"/>
      <c r="Z21" s="281"/>
      <c r="AA21" s="281"/>
      <c r="AB21" s="281"/>
      <c r="AC21" s="282"/>
      <c r="AD21" s="104"/>
      <c r="AE21" s="104"/>
      <c r="AF21" s="104"/>
      <c r="AG21" s="104"/>
      <c r="AH21" s="104"/>
      <c r="AI21" s="104"/>
      <c r="AJ21" s="104"/>
      <c r="AK21" s="104"/>
      <c r="AL21" s="104"/>
      <c r="AM21" s="104"/>
      <c r="AN21" s="104"/>
      <c r="AO21" s="104"/>
      <c r="AP21" s="104"/>
      <c r="AQ21" s="104"/>
      <c r="AR21" s="104"/>
      <c r="AS21" s="104"/>
      <c r="AT21" s="104"/>
      <c r="AU21" s="104"/>
    </row>
    <row r="22" spans="1:47" ht="21" customHeight="1">
      <c r="A22" s="468"/>
      <c r="B22" s="407" t="s">
        <v>60</v>
      </c>
      <c r="C22" s="408"/>
      <c r="D22" s="434"/>
      <c r="E22" s="435"/>
      <c r="F22" s="435"/>
      <c r="G22" s="435"/>
      <c r="H22" s="436"/>
      <c r="I22" s="29" t="s">
        <v>68</v>
      </c>
      <c r="J22" s="409">
        <v>100</v>
      </c>
      <c r="K22" s="410"/>
      <c r="L22" s="16" t="s">
        <v>67</v>
      </c>
      <c r="M22" s="413">
        <v>10000000</v>
      </c>
      <c r="N22" s="414"/>
      <c r="O22" s="280"/>
      <c r="P22" s="441"/>
      <c r="Q22" s="280"/>
      <c r="R22" s="441"/>
      <c r="S22" s="444"/>
      <c r="T22" s="454"/>
      <c r="U22" s="459"/>
      <c r="V22" s="460"/>
      <c r="W22" s="461"/>
      <c r="X22" s="425"/>
      <c r="Y22" s="280"/>
      <c r="Z22" s="281"/>
      <c r="AA22" s="281"/>
      <c r="AB22" s="281"/>
      <c r="AC22" s="282"/>
      <c r="AD22" s="104"/>
      <c r="AE22" s="104"/>
      <c r="AF22" s="104"/>
      <c r="AG22" s="104"/>
      <c r="AH22" s="104"/>
      <c r="AI22" s="104"/>
      <c r="AJ22" s="104"/>
      <c r="AK22" s="104"/>
      <c r="AL22" s="104"/>
      <c r="AM22" s="104"/>
      <c r="AN22" s="104"/>
      <c r="AO22" s="104"/>
      <c r="AP22" s="104"/>
      <c r="AQ22" s="104"/>
      <c r="AR22" s="104"/>
      <c r="AS22" s="104"/>
      <c r="AT22" s="104"/>
      <c r="AU22" s="104"/>
    </row>
    <row r="23" spans="1:47" ht="21" customHeight="1">
      <c r="A23" s="469"/>
      <c r="B23" s="407" t="s">
        <v>60</v>
      </c>
      <c r="C23" s="408"/>
      <c r="D23" s="437"/>
      <c r="E23" s="438"/>
      <c r="F23" s="438"/>
      <c r="G23" s="438"/>
      <c r="H23" s="439"/>
      <c r="I23" s="30" t="s">
        <v>140</v>
      </c>
      <c r="J23" s="409" t="s">
        <v>60</v>
      </c>
      <c r="K23" s="410"/>
      <c r="L23" s="16" t="s">
        <v>67</v>
      </c>
      <c r="M23" s="411" t="s">
        <v>60</v>
      </c>
      <c r="N23" s="412"/>
      <c r="O23" s="283"/>
      <c r="P23" s="442"/>
      <c r="Q23" s="283"/>
      <c r="R23" s="442"/>
      <c r="S23" s="445"/>
      <c r="T23" s="455"/>
      <c r="U23" s="462"/>
      <c r="V23" s="463"/>
      <c r="W23" s="464"/>
      <c r="X23" s="426"/>
      <c r="Y23" s="283"/>
      <c r="Z23" s="284"/>
      <c r="AA23" s="284"/>
      <c r="AB23" s="284"/>
      <c r="AC23" s="285"/>
      <c r="AD23" s="104"/>
      <c r="AE23" s="104"/>
      <c r="AF23" s="104"/>
      <c r="AG23" s="104"/>
      <c r="AH23" s="104"/>
      <c r="AI23" s="104"/>
      <c r="AJ23" s="104"/>
      <c r="AK23" s="104"/>
      <c r="AL23" s="104"/>
      <c r="AM23" s="104"/>
      <c r="AN23" s="104"/>
      <c r="AO23" s="104"/>
      <c r="AP23" s="104"/>
      <c r="AQ23" s="104"/>
      <c r="AR23" s="104"/>
      <c r="AS23" s="104"/>
      <c r="AT23" s="104"/>
      <c r="AU23" s="104"/>
    </row>
    <row r="24" spans="1:47" ht="21">
      <c r="A24" s="465">
        <v>2</v>
      </c>
      <c r="B24" s="478" t="s">
        <v>54</v>
      </c>
      <c r="C24" s="478"/>
      <c r="D24" s="480" t="s">
        <v>55</v>
      </c>
      <c r="E24" s="480"/>
      <c r="F24" s="480"/>
      <c r="G24" s="480"/>
      <c r="H24" s="480"/>
      <c r="I24" s="29" t="s">
        <v>10</v>
      </c>
      <c r="J24" s="409">
        <v>1200</v>
      </c>
      <c r="K24" s="410"/>
      <c r="L24" s="103" t="s">
        <v>59</v>
      </c>
      <c r="M24" s="477">
        <v>1500000</v>
      </c>
      <c r="N24" s="477"/>
      <c r="O24" s="277"/>
      <c r="P24" s="440"/>
      <c r="Q24" s="277"/>
      <c r="R24" s="440"/>
      <c r="S24" s="443">
        <v>100</v>
      </c>
      <c r="T24" s="446">
        <v>14021913951</v>
      </c>
      <c r="U24" s="447">
        <v>12119</v>
      </c>
      <c r="V24" s="447"/>
      <c r="W24" s="447"/>
      <c r="X24" s="424" t="s">
        <v>139</v>
      </c>
      <c r="Y24" s="277"/>
      <c r="Z24" s="278"/>
      <c r="AA24" s="278"/>
      <c r="AB24" s="278"/>
      <c r="AC24" s="279"/>
      <c r="AD24" s="104"/>
      <c r="AE24" s="104"/>
      <c r="AF24" s="104"/>
      <c r="AG24" s="104"/>
      <c r="AH24" s="104"/>
      <c r="AI24" s="104"/>
      <c r="AJ24" s="104"/>
      <c r="AK24" s="104"/>
      <c r="AL24" s="104"/>
      <c r="AM24" s="104"/>
      <c r="AN24" s="104"/>
      <c r="AO24" s="104"/>
      <c r="AP24" s="104"/>
      <c r="AQ24" s="104"/>
      <c r="AR24" s="104"/>
      <c r="AS24" s="104"/>
      <c r="AT24" s="104"/>
      <c r="AU24" s="104"/>
    </row>
    <row r="25" spans="1:47" ht="21">
      <c r="A25" s="465"/>
      <c r="B25" s="478" t="s">
        <v>66</v>
      </c>
      <c r="C25" s="478"/>
      <c r="D25" s="480"/>
      <c r="E25" s="480"/>
      <c r="F25" s="480"/>
      <c r="G25" s="480"/>
      <c r="H25" s="480"/>
      <c r="I25" s="29" t="s">
        <v>16</v>
      </c>
      <c r="J25" s="409" t="s">
        <v>60</v>
      </c>
      <c r="K25" s="410"/>
      <c r="L25" s="16" t="s">
        <v>67</v>
      </c>
      <c r="M25" s="477"/>
      <c r="N25" s="477"/>
      <c r="O25" s="280"/>
      <c r="P25" s="441"/>
      <c r="Q25" s="280"/>
      <c r="R25" s="441"/>
      <c r="S25" s="444"/>
      <c r="T25" s="446"/>
      <c r="U25" s="447"/>
      <c r="V25" s="447"/>
      <c r="W25" s="447"/>
      <c r="X25" s="311"/>
      <c r="Y25" s="280"/>
      <c r="Z25" s="281"/>
      <c r="AA25" s="281"/>
      <c r="AB25" s="281"/>
      <c r="AC25" s="282"/>
      <c r="AD25" s="104"/>
      <c r="AE25" s="104"/>
      <c r="AF25" s="104"/>
      <c r="AG25" s="104"/>
      <c r="AH25" s="104"/>
      <c r="AI25" s="104"/>
      <c r="AJ25" s="104"/>
      <c r="AK25" s="104"/>
      <c r="AL25" s="104"/>
      <c r="AM25" s="104"/>
      <c r="AN25" s="104"/>
      <c r="AO25" s="104"/>
      <c r="AP25" s="104"/>
      <c r="AQ25" s="104"/>
      <c r="AR25" s="104"/>
      <c r="AS25" s="104"/>
      <c r="AT25" s="104"/>
      <c r="AU25" s="104"/>
    </row>
    <row r="26" spans="1:47" ht="21">
      <c r="A26" s="465"/>
      <c r="B26" s="478" t="s">
        <v>60</v>
      </c>
      <c r="C26" s="478"/>
      <c r="D26" s="480"/>
      <c r="E26" s="480"/>
      <c r="F26" s="480"/>
      <c r="G26" s="480"/>
      <c r="H26" s="480"/>
      <c r="I26" s="29" t="s">
        <v>68</v>
      </c>
      <c r="J26" s="409">
        <v>100</v>
      </c>
      <c r="K26" s="410"/>
      <c r="L26" s="16" t="s">
        <v>67</v>
      </c>
      <c r="M26" s="477">
        <v>10000000</v>
      </c>
      <c r="N26" s="477"/>
      <c r="O26" s="280"/>
      <c r="P26" s="441"/>
      <c r="Q26" s="280"/>
      <c r="R26" s="441"/>
      <c r="S26" s="444"/>
      <c r="T26" s="446"/>
      <c r="U26" s="447"/>
      <c r="V26" s="447"/>
      <c r="W26" s="447"/>
      <c r="X26" s="311"/>
      <c r="Y26" s="280"/>
      <c r="Z26" s="281"/>
      <c r="AA26" s="281"/>
      <c r="AB26" s="281"/>
      <c r="AC26" s="282"/>
      <c r="AD26" s="104"/>
      <c r="AE26" s="104"/>
      <c r="AF26" s="104"/>
      <c r="AG26" s="104"/>
      <c r="AH26" s="104"/>
      <c r="AI26" s="104"/>
      <c r="AJ26" s="104"/>
      <c r="AK26" s="104"/>
      <c r="AL26" s="104"/>
      <c r="AM26" s="104"/>
      <c r="AN26" s="104"/>
      <c r="AO26" s="104"/>
      <c r="AP26" s="104"/>
      <c r="AQ26" s="104"/>
      <c r="AR26" s="104"/>
      <c r="AS26" s="104"/>
      <c r="AT26" s="104"/>
      <c r="AU26" s="104"/>
    </row>
    <row r="27" spans="1:47" ht="21">
      <c r="A27" s="465"/>
      <c r="B27" s="478" t="s">
        <v>60</v>
      </c>
      <c r="C27" s="478"/>
      <c r="D27" s="480"/>
      <c r="E27" s="480"/>
      <c r="F27" s="480"/>
      <c r="G27" s="480"/>
      <c r="H27" s="480"/>
      <c r="I27" s="30" t="s">
        <v>140</v>
      </c>
      <c r="J27" s="409" t="s">
        <v>60</v>
      </c>
      <c r="K27" s="410"/>
      <c r="L27" s="16" t="s">
        <v>67</v>
      </c>
      <c r="M27" s="479" t="s">
        <v>60</v>
      </c>
      <c r="N27" s="479"/>
      <c r="O27" s="283"/>
      <c r="P27" s="442"/>
      <c r="Q27" s="283"/>
      <c r="R27" s="442"/>
      <c r="S27" s="445"/>
      <c r="T27" s="446"/>
      <c r="U27" s="447"/>
      <c r="V27" s="447"/>
      <c r="W27" s="447"/>
      <c r="X27" s="312"/>
      <c r="Y27" s="283"/>
      <c r="Z27" s="284"/>
      <c r="AA27" s="284"/>
      <c r="AB27" s="284"/>
      <c r="AC27" s="285"/>
      <c r="AD27" s="104"/>
      <c r="AE27" s="104"/>
      <c r="AF27" s="104"/>
      <c r="AG27" s="104"/>
      <c r="AH27" s="104"/>
      <c r="AI27" s="104"/>
      <c r="AJ27" s="104"/>
      <c r="AK27" s="104"/>
      <c r="AL27" s="104"/>
      <c r="AM27" s="104"/>
      <c r="AN27" s="104"/>
      <c r="AO27" s="104"/>
      <c r="AP27" s="104"/>
      <c r="AQ27" s="104"/>
      <c r="AR27" s="104"/>
      <c r="AS27" s="104"/>
      <c r="AT27" s="104"/>
      <c r="AU27" s="104"/>
    </row>
    <row r="28" spans="1:47" ht="21">
      <c r="A28" s="465">
        <v>3</v>
      </c>
      <c r="B28" s="478" t="s">
        <v>54</v>
      </c>
      <c r="C28" s="478"/>
      <c r="D28" s="480" t="s">
        <v>55</v>
      </c>
      <c r="E28" s="480"/>
      <c r="F28" s="480"/>
      <c r="G28" s="480"/>
      <c r="H28" s="480"/>
      <c r="I28" s="29" t="s">
        <v>10</v>
      </c>
      <c r="J28" s="409">
        <v>1200</v>
      </c>
      <c r="K28" s="410"/>
      <c r="L28" s="103" t="s">
        <v>59</v>
      </c>
      <c r="M28" s="477">
        <v>1500000</v>
      </c>
      <c r="N28" s="477"/>
      <c r="O28" s="277"/>
      <c r="P28" s="440"/>
      <c r="Q28" s="277"/>
      <c r="R28" s="440"/>
      <c r="S28" s="443">
        <v>100</v>
      </c>
      <c r="T28" s="446">
        <v>14021913951</v>
      </c>
      <c r="U28" s="447">
        <v>12119</v>
      </c>
      <c r="V28" s="447"/>
      <c r="W28" s="447"/>
      <c r="X28" s="424" t="s">
        <v>139</v>
      </c>
      <c r="Y28" s="277"/>
      <c r="Z28" s="278"/>
      <c r="AA28" s="278"/>
      <c r="AB28" s="278"/>
      <c r="AC28" s="279"/>
      <c r="AD28" s="104"/>
      <c r="AE28" s="104"/>
      <c r="AF28" s="104"/>
      <c r="AG28" s="104"/>
      <c r="AH28" s="104"/>
      <c r="AI28" s="104"/>
      <c r="AJ28" s="104"/>
      <c r="AK28" s="104"/>
      <c r="AL28" s="104"/>
      <c r="AM28" s="104"/>
      <c r="AN28" s="104"/>
      <c r="AO28" s="104"/>
      <c r="AP28" s="104"/>
      <c r="AQ28" s="104"/>
      <c r="AR28" s="104"/>
      <c r="AS28" s="104"/>
      <c r="AT28" s="104"/>
      <c r="AU28" s="104"/>
    </row>
    <row r="29" spans="1:47" ht="21">
      <c r="A29" s="465"/>
      <c r="B29" s="478" t="s">
        <v>66</v>
      </c>
      <c r="C29" s="478"/>
      <c r="D29" s="480"/>
      <c r="E29" s="480"/>
      <c r="F29" s="480"/>
      <c r="G29" s="480"/>
      <c r="H29" s="480"/>
      <c r="I29" s="29" t="s">
        <v>16</v>
      </c>
      <c r="J29" s="409" t="s">
        <v>60</v>
      </c>
      <c r="K29" s="410"/>
      <c r="L29" s="16" t="s">
        <v>67</v>
      </c>
      <c r="M29" s="477"/>
      <c r="N29" s="477"/>
      <c r="O29" s="280"/>
      <c r="P29" s="441"/>
      <c r="Q29" s="280"/>
      <c r="R29" s="441"/>
      <c r="S29" s="444"/>
      <c r="T29" s="446"/>
      <c r="U29" s="447"/>
      <c r="V29" s="447"/>
      <c r="W29" s="447"/>
      <c r="X29" s="311"/>
      <c r="Y29" s="280"/>
      <c r="Z29" s="281"/>
      <c r="AA29" s="281"/>
      <c r="AB29" s="281"/>
      <c r="AC29" s="282"/>
      <c r="AD29" s="104"/>
      <c r="AE29" s="104"/>
      <c r="AF29" s="104"/>
      <c r="AG29" s="104"/>
      <c r="AH29" s="104"/>
      <c r="AI29" s="104"/>
      <c r="AJ29" s="104"/>
      <c r="AK29" s="104"/>
      <c r="AL29" s="104"/>
      <c r="AM29" s="104"/>
      <c r="AN29" s="104"/>
      <c r="AO29" s="104"/>
      <c r="AP29" s="104"/>
      <c r="AQ29" s="104"/>
      <c r="AR29" s="104"/>
      <c r="AS29" s="104"/>
      <c r="AT29" s="104"/>
      <c r="AU29" s="104"/>
    </row>
    <row r="30" spans="1:47" ht="21">
      <c r="A30" s="465"/>
      <c r="B30" s="478" t="s">
        <v>60</v>
      </c>
      <c r="C30" s="478"/>
      <c r="D30" s="480"/>
      <c r="E30" s="480"/>
      <c r="F30" s="480"/>
      <c r="G30" s="480"/>
      <c r="H30" s="480"/>
      <c r="I30" s="29" t="s">
        <v>68</v>
      </c>
      <c r="J30" s="409">
        <v>100</v>
      </c>
      <c r="K30" s="410"/>
      <c r="L30" s="16" t="s">
        <v>67</v>
      </c>
      <c r="M30" s="477">
        <v>10000000</v>
      </c>
      <c r="N30" s="477"/>
      <c r="O30" s="280"/>
      <c r="P30" s="441"/>
      <c r="Q30" s="280"/>
      <c r="R30" s="441"/>
      <c r="S30" s="444"/>
      <c r="T30" s="446"/>
      <c r="U30" s="447"/>
      <c r="V30" s="447"/>
      <c r="W30" s="447"/>
      <c r="X30" s="311"/>
      <c r="Y30" s="280"/>
      <c r="Z30" s="281"/>
      <c r="AA30" s="281"/>
      <c r="AB30" s="281"/>
      <c r="AC30" s="282"/>
      <c r="AD30" s="104"/>
      <c r="AE30" s="104"/>
      <c r="AF30" s="104"/>
      <c r="AG30" s="104"/>
      <c r="AH30" s="104"/>
      <c r="AI30" s="104"/>
      <c r="AJ30" s="104"/>
      <c r="AK30" s="104"/>
      <c r="AL30" s="104"/>
      <c r="AM30" s="104"/>
      <c r="AN30" s="104"/>
      <c r="AO30" s="104"/>
      <c r="AP30" s="104"/>
      <c r="AQ30" s="104"/>
      <c r="AR30" s="104"/>
      <c r="AS30" s="104"/>
      <c r="AT30" s="104"/>
      <c r="AU30" s="104"/>
    </row>
    <row r="31" spans="1:47" ht="21">
      <c r="A31" s="465"/>
      <c r="B31" s="478" t="s">
        <v>60</v>
      </c>
      <c r="C31" s="478"/>
      <c r="D31" s="480"/>
      <c r="E31" s="480"/>
      <c r="F31" s="480"/>
      <c r="G31" s="480"/>
      <c r="H31" s="480"/>
      <c r="I31" s="30" t="s">
        <v>140</v>
      </c>
      <c r="J31" s="409" t="s">
        <v>60</v>
      </c>
      <c r="K31" s="410"/>
      <c r="L31" s="16" t="s">
        <v>67</v>
      </c>
      <c r="M31" s="479" t="s">
        <v>60</v>
      </c>
      <c r="N31" s="479"/>
      <c r="O31" s="283"/>
      <c r="P31" s="442"/>
      <c r="Q31" s="283"/>
      <c r="R31" s="442"/>
      <c r="S31" s="445"/>
      <c r="T31" s="446"/>
      <c r="U31" s="447"/>
      <c r="V31" s="447"/>
      <c r="W31" s="447"/>
      <c r="X31" s="312"/>
      <c r="Y31" s="283"/>
      <c r="Z31" s="284"/>
      <c r="AA31" s="284"/>
      <c r="AB31" s="284"/>
      <c r="AC31" s="285"/>
      <c r="AD31" s="104"/>
      <c r="AE31" s="104"/>
      <c r="AF31" s="104"/>
      <c r="AG31" s="104"/>
      <c r="AH31" s="104"/>
      <c r="AI31" s="104"/>
      <c r="AJ31" s="104"/>
      <c r="AK31" s="104"/>
      <c r="AL31" s="104"/>
      <c r="AM31" s="104"/>
      <c r="AN31" s="104"/>
      <c r="AO31" s="104"/>
      <c r="AP31" s="104"/>
      <c r="AQ31" s="104"/>
      <c r="AR31" s="104"/>
      <c r="AS31" s="104"/>
      <c r="AT31" s="104"/>
      <c r="AU31" s="104"/>
    </row>
    <row r="32" spans="1:47" ht="21">
      <c r="A32" s="465">
        <v>4</v>
      </c>
      <c r="B32" s="478" t="s">
        <v>54</v>
      </c>
      <c r="C32" s="478"/>
      <c r="D32" s="480" t="s">
        <v>55</v>
      </c>
      <c r="E32" s="480"/>
      <c r="F32" s="480"/>
      <c r="G32" s="480"/>
      <c r="H32" s="480"/>
      <c r="I32" s="29" t="s">
        <v>10</v>
      </c>
      <c r="J32" s="409">
        <v>1200</v>
      </c>
      <c r="K32" s="410"/>
      <c r="L32" s="103" t="s">
        <v>59</v>
      </c>
      <c r="M32" s="477">
        <v>1500000</v>
      </c>
      <c r="N32" s="477"/>
      <c r="O32" s="277"/>
      <c r="P32" s="440"/>
      <c r="Q32" s="277"/>
      <c r="R32" s="440"/>
      <c r="S32" s="443">
        <v>100</v>
      </c>
      <c r="T32" s="446">
        <v>14021913951</v>
      </c>
      <c r="U32" s="447">
        <v>12119</v>
      </c>
      <c r="V32" s="447"/>
      <c r="W32" s="447"/>
      <c r="X32" s="424" t="s">
        <v>139</v>
      </c>
      <c r="Y32" s="277"/>
      <c r="Z32" s="278"/>
      <c r="AA32" s="278"/>
      <c r="AB32" s="278"/>
      <c r="AC32" s="279"/>
      <c r="AD32" s="104"/>
      <c r="AE32" s="104"/>
      <c r="AF32" s="104"/>
      <c r="AG32" s="104"/>
      <c r="AH32" s="104"/>
      <c r="AI32" s="104"/>
      <c r="AJ32" s="104"/>
      <c r="AK32" s="104"/>
      <c r="AL32" s="104"/>
      <c r="AM32" s="104"/>
      <c r="AN32" s="104"/>
      <c r="AO32" s="104"/>
      <c r="AP32" s="104"/>
      <c r="AQ32" s="104"/>
      <c r="AR32" s="104"/>
      <c r="AS32" s="104"/>
      <c r="AT32" s="104"/>
      <c r="AU32" s="104"/>
    </row>
    <row r="33" spans="1:55" ht="21">
      <c r="A33" s="465"/>
      <c r="B33" s="478" t="s">
        <v>66</v>
      </c>
      <c r="C33" s="478"/>
      <c r="D33" s="480"/>
      <c r="E33" s="480"/>
      <c r="F33" s="480"/>
      <c r="G33" s="480"/>
      <c r="H33" s="480"/>
      <c r="I33" s="29" t="s">
        <v>16</v>
      </c>
      <c r="J33" s="409" t="s">
        <v>60</v>
      </c>
      <c r="K33" s="410"/>
      <c r="L33" s="16" t="s">
        <v>67</v>
      </c>
      <c r="M33" s="477"/>
      <c r="N33" s="477"/>
      <c r="O33" s="280"/>
      <c r="P33" s="441"/>
      <c r="Q33" s="280"/>
      <c r="R33" s="441"/>
      <c r="S33" s="444"/>
      <c r="T33" s="446"/>
      <c r="U33" s="447"/>
      <c r="V33" s="447"/>
      <c r="W33" s="447"/>
      <c r="X33" s="311"/>
      <c r="Y33" s="280"/>
      <c r="Z33" s="281"/>
      <c r="AA33" s="281"/>
      <c r="AB33" s="281"/>
      <c r="AC33" s="282"/>
      <c r="AD33" s="104"/>
      <c r="AE33" s="104"/>
      <c r="AF33" s="104"/>
      <c r="AG33" s="104"/>
      <c r="AH33" s="104"/>
      <c r="AI33" s="104"/>
      <c r="AJ33" s="104"/>
      <c r="AK33" s="104"/>
      <c r="AL33" s="104"/>
      <c r="AM33" s="104"/>
      <c r="AN33" s="104"/>
      <c r="AO33" s="104"/>
      <c r="AP33" s="104"/>
      <c r="AQ33" s="104"/>
      <c r="AR33" s="104"/>
      <c r="AS33" s="104"/>
      <c r="AT33" s="104"/>
      <c r="AU33" s="104"/>
    </row>
    <row r="34" spans="1:55" ht="21">
      <c r="A34" s="465"/>
      <c r="B34" s="478" t="s">
        <v>60</v>
      </c>
      <c r="C34" s="478"/>
      <c r="D34" s="480"/>
      <c r="E34" s="480"/>
      <c r="F34" s="480"/>
      <c r="G34" s="480"/>
      <c r="H34" s="480"/>
      <c r="I34" s="29" t="s">
        <v>68</v>
      </c>
      <c r="J34" s="409">
        <v>100</v>
      </c>
      <c r="K34" s="410"/>
      <c r="L34" s="16" t="s">
        <v>67</v>
      </c>
      <c r="M34" s="477">
        <v>10000000</v>
      </c>
      <c r="N34" s="477"/>
      <c r="O34" s="280"/>
      <c r="P34" s="441"/>
      <c r="Q34" s="280"/>
      <c r="R34" s="441"/>
      <c r="S34" s="444"/>
      <c r="T34" s="446"/>
      <c r="U34" s="447"/>
      <c r="V34" s="447"/>
      <c r="W34" s="447"/>
      <c r="X34" s="311"/>
      <c r="Y34" s="280"/>
      <c r="Z34" s="281"/>
      <c r="AA34" s="281"/>
      <c r="AB34" s="281"/>
      <c r="AC34" s="282"/>
      <c r="AD34" s="104"/>
      <c r="AE34" s="104"/>
      <c r="AF34" s="104"/>
      <c r="AG34" s="104"/>
      <c r="AH34" s="104"/>
      <c r="AI34" s="104"/>
      <c r="AJ34" s="104"/>
      <c r="AK34" s="104"/>
      <c r="AL34" s="104"/>
      <c r="AM34" s="104"/>
      <c r="AN34" s="104"/>
      <c r="AO34" s="104"/>
      <c r="AP34" s="104"/>
      <c r="AQ34" s="104"/>
      <c r="AR34" s="104"/>
      <c r="AS34" s="104"/>
      <c r="AT34" s="104"/>
      <c r="AU34" s="104"/>
    </row>
    <row r="35" spans="1:55" ht="21">
      <c r="A35" s="465"/>
      <c r="B35" s="478" t="s">
        <v>60</v>
      </c>
      <c r="C35" s="478"/>
      <c r="D35" s="480"/>
      <c r="E35" s="480"/>
      <c r="F35" s="480"/>
      <c r="G35" s="480"/>
      <c r="H35" s="480"/>
      <c r="I35" s="30" t="s">
        <v>140</v>
      </c>
      <c r="J35" s="409" t="s">
        <v>60</v>
      </c>
      <c r="K35" s="410"/>
      <c r="L35" s="16" t="s">
        <v>67</v>
      </c>
      <c r="M35" s="479" t="s">
        <v>60</v>
      </c>
      <c r="N35" s="479"/>
      <c r="O35" s="283"/>
      <c r="P35" s="442"/>
      <c r="Q35" s="283"/>
      <c r="R35" s="442"/>
      <c r="S35" s="445"/>
      <c r="T35" s="446"/>
      <c r="U35" s="447"/>
      <c r="V35" s="447"/>
      <c r="W35" s="447"/>
      <c r="X35" s="312"/>
      <c r="Y35" s="283"/>
      <c r="Z35" s="284"/>
      <c r="AA35" s="284"/>
      <c r="AB35" s="284"/>
      <c r="AC35" s="285"/>
      <c r="AD35" s="104"/>
      <c r="AE35" s="104"/>
      <c r="AF35" s="104"/>
      <c r="AG35" s="104"/>
      <c r="AH35" s="104"/>
      <c r="AI35" s="104"/>
      <c r="AJ35" s="104"/>
      <c r="AK35" s="104"/>
      <c r="AL35" s="104"/>
      <c r="AM35" s="104"/>
      <c r="AN35" s="104"/>
      <c r="AO35" s="104"/>
      <c r="AP35" s="104"/>
      <c r="AQ35" s="104"/>
      <c r="AR35" s="104"/>
      <c r="AS35" s="104"/>
      <c r="AT35" s="104"/>
      <c r="AU35" s="104"/>
    </row>
    <row r="36" spans="1:55" ht="21">
      <c r="A36" s="465">
        <v>5</v>
      </c>
      <c r="B36" s="478" t="s">
        <v>54</v>
      </c>
      <c r="C36" s="478"/>
      <c r="D36" s="480" t="s">
        <v>55</v>
      </c>
      <c r="E36" s="480"/>
      <c r="F36" s="480"/>
      <c r="G36" s="480"/>
      <c r="H36" s="480"/>
      <c r="I36" s="29" t="s">
        <v>10</v>
      </c>
      <c r="J36" s="409">
        <v>1200</v>
      </c>
      <c r="K36" s="410"/>
      <c r="L36" s="103" t="s">
        <v>59</v>
      </c>
      <c r="M36" s="477">
        <v>1500000</v>
      </c>
      <c r="N36" s="477"/>
      <c r="O36" s="277"/>
      <c r="P36" s="440"/>
      <c r="Q36" s="277"/>
      <c r="R36" s="440"/>
      <c r="S36" s="443">
        <v>100</v>
      </c>
      <c r="T36" s="446">
        <v>14021913951</v>
      </c>
      <c r="U36" s="447">
        <v>12119</v>
      </c>
      <c r="V36" s="447"/>
      <c r="W36" s="447"/>
      <c r="X36" s="424" t="s">
        <v>139</v>
      </c>
      <c r="Y36" s="277"/>
      <c r="Z36" s="278"/>
      <c r="AA36" s="278"/>
      <c r="AB36" s="278"/>
      <c r="AC36" s="279"/>
      <c r="AD36" s="104"/>
      <c r="AE36" s="104"/>
      <c r="AF36" s="104"/>
      <c r="AG36" s="104"/>
      <c r="AH36" s="104"/>
      <c r="AI36" s="104"/>
      <c r="AJ36" s="104"/>
      <c r="AK36" s="104"/>
      <c r="AL36" s="104"/>
      <c r="AM36" s="104"/>
      <c r="AN36" s="104"/>
      <c r="AO36" s="104"/>
      <c r="AP36" s="104"/>
      <c r="AQ36" s="104"/>
      <c r="AR36" s="104"/>
      <c r="AS36" s="104"/>
      <c r="AT36" s="104"/>
      <c r="AU36" s="104"/>
    </row>
    <row r="37" spans="1:55" ht="21">
      <c r="A37" s="465"/>
      <c r="B37" s="478" t="s">
        <v>66</v>
      </c>
      <c r="C37" s="478"/>
      <c r="D37" s="480"/>
      <c r="E37" s="480"/>
      <c r="F37" s="480"/>
      <c r="G37" s="480"/>
      <c r="H37" s="480"/>
      <c r="I37" s="29" t="s">
        <v>16</v>
      </c>
      <c r="J37" s="409" t="s">
        <v>60</v>
      </c>
      <c r="K37" s="410"/>
      <c r="L37" s="16" t="s">
        <v>67</v>
      </c>
      <c r="M37" s="477"/>
      <c r="N37" s="477"/>
      <c r="O37" s="280"/>
      <c r="P37" s="441"/>
      <c r="Q37" s="280"/>
      <c r="R37" s="441"/>
      <c r="S37" s="444"/>
      <c r="T37" s="446"/>
      <c r="U37" s="447"/>
      <c r="V37" s="447"/>
      <c r="W37" s="447"/>
      <c r="X37" s="311"/>
      <c r="Y37" s="280"/>
      <c r="Z37" s="281"/>
      <c r="AA37" s="281"/>
      <c r="AB37" s="281"/>
      <c r="AC37" s="282"/>
      <c r="AD37" s="104"/>
      <c r="AE37" s="104"/>
      <c r="AF37" s="104"/>
      <c r="AG37" s="104"/>
      <c r="AH37" s="104"/>
      <c r="AI37" s="104"/>
      <c r="AJ37" s="104"/>
      <c r="AK37" s="104"/>
      <c r="AL37" s="104"/>
      <c r="AM37" s="104"/>
      <c r="AN37" s="104"/>
      <c r="AO37" s="104"/>
      <c r="AP37" s="104"/>
      <c r="AQ37" s="104"/>
      <c r="AR37" s="104"/>
      <c r="AS37" s="104"/>
      <c r="AT37" s="104"/>
      <c r="AU37" s="104"/>
    </row>
    <row r="38" spans="1:55" ht="21">
      <c r="A38" s="465"/>
      <c r="B38" s="478" t="s">
        <v>60</v>
      </c>
      <c r="C38" s="478"/>
      <c r="D38" s="480"/>
      <c r="E38" s="480"/>
      <c r="F38" s="480"/>
      <c r="G38" s="480"/>
      <c r="H38" s="480"/>
      <c r="I38" s="29" t="s">
        <v>68</v>
      </c>
      <c r="J38" s="409">
        <v>100</v>
      </c>
      <c r="K38" s="410"/>
      <c r="L38" s="16" t="s">
        <v>67</v>
      </c>
      <c r="M38" s="477">
        <v>10000000</v>
      </c>
      <c r="N38" s="477"/>
      <c r="O38" s="280"/>
      <c r="P38" s="441"/>
      <c r="Q38" s="280"/>
      <c r="R38" s="441"/>
      <c r="S38" s="444"/>
      <c r="T38" s="446"/>
      <c r="U38" s="447"/>
      <c r="V38" s="447"/>
      <c r="W38" s="447"/>
      <c r="X38" s="311"/>
      <c r="Y38" s="280"/>
      <c r="Z38" s="281"/>
      <c r="AA38" s="281"/>
      <c r="AB38" s="281"/>
      <c r="AC38" s="282"/>
      <c r="AD38" s="104"/>
      <c r="AE38" s="104"/>
      <c r="AF38" s="104"/>
      <c r="AG38" s="104"/>
      <c r="AH38" s="104"/>
      <c r="AI38" s="104"/>
      <c r="AJ38" s="104"/>
      <c r="AK38" s="104"/>
      <c r="AL38" s="104"/>
      <c r="AM38" s="104"/>
      <c r="AN38" s="104"/>
      <c r="AO38" s="104"/>
      <c r="AP38" s="104"/>
      <c r="AQ38" s="104"/>
      <c r="AR38" s="104"/>
      <c r="AS38" s="104"/>
      <c r="AT38" s="104"/>
      <c r="AU38" s="104"/>
    </row>
    <row r="39" spans="1:55" ht="21.75" thickBot="1">
      <c r="A39" s="481"/>
      <c r="B39" s="489" t="s">
        <v>60</v>
      </c>
      <c r="C39" s="489"/>
      <c r="D39" s="482"/>
      <c r="E39" s="482"/>
      <c r="F39" s="482"/>
      <c r="G39" s="482"/>
      <c r="H39" s="482"/>
      <c r="I39" s="196" t="s">
        <v>140</v>
      </c>
      <c r="J39" s="490" t="s">
        <v>60</v>
      </c>
      <c r="K39" s="491"/>
      <c r="L39" s="197" t="s">
        <v>67</v>
      </c>
      <c r="M39" s="492" t="s">
        <v>60</v>
      </c>
      <c r="N39" s="492"/>
      <c r="O39" s="483"/>
      <c r="P39" s="484"/>
      <c r="Q39" s="483"/>
      <c r="R39" s="484"/>
      <c r="S39" s="485"/>
      <c r="T39" s="486"/>
      <c r="U39" s="487"/>
      <c r="V39" s="487"/>
      <c r="W39" s="487"/>
      <c r="X39" s="488"/>
      <c r="Y39" s="483"/>
      <c r="Z39" s="493"/>
      <c r="AA39" s="493"/>
      <c r="AB39" s="493"/>
      <c r="AC39" s="494"/>
      <c r="AD39" s="104"/>
      <c r="AE39" s="104"/>
      <c r="AF39" s="104"/>
      <c r="AG39" s="104"/>
      <c r="AH39" s="104"/>
      <c r="AI39" s="104"/>
      <c r="AJ39" s="104"/>
      <c r="AK39" s="104"/>
      <c r="AL39" s="104"/>
      <c r="AM39" s="104"/>
      <c r="AN39" s="104"/>
      <c r="AO39" s="104"/>
      <c r="AP39" s="104"/>
      <c r="AQ39" s="104"/>
      <c r="AR39" s="104"/>
      <c r="AS39" s="104"/>
      <c r="AT39" s="104"/>
      <c r="AU39" s="104"/>
    </row>
    <row r="40" spans="1:55" ht="31.5" customHeight="1" thickTop="1">
      <c r="A40" s="261" t="s">
        <v>141</v>
      </c>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3"/>
      <c r="AD40" s="104"/>
      <c r="AE40" s="104"/>
      <c r="AF40" s="104"/>
      <c r="AG40" s="104"/>
      <c r="AH40" s="104"/>
      <c r="AI40" s="104"/>
      <c r="AJ40" s="104"/>
      <c r="AK40" s="104"/>
      <c r="AL40" s="104"/>
      <c r="AM40" s="104"/>
      <c r="AN40" s="104"/>
      <c r="AO40" s="104"/>
      <c r="AP40" s="104"/>
      <c r="AQ40" s="104"/>
      <c r="AR40" s="104"/>
      <c r="AS40" s="104"/>
      <c r="AT40" s="104"/>
      <c r="AU40" s="104"/>
    </row>
    <row r="41" spans="1:55" ht="30.75" customHeight="1">
      <c r="A41" s="451" t="s">
        <v>0</v>
      </c>
      <c r="B41" s="248" t="s">
        <v>194</v>
      </c>
      <c r="C41" s="249"/>
      <c r="D41" s="249"/>
      <c r="E41" s="249"/>
      <c r="F41" s="249"/>
      <c r="G41" s="249"/>
      <c r="H41" s="249"/>
      <c r="I41" s="249"/>
      <c r="J41" s="249"/>
      <c r="K41" s="249"/>
      <c r="L41" s="249"/>
      <c r="M41" s="249"/>
      <c r="N41" s="249"/>
      <c r="O41" s="249"/>
      <c r="P41" s="249"/>
      <c r="Q41" s="249"/>
      <c r="R41" s="313"/>
      <c r="S41" s="248" t="s">
        <v>145</v>
      </c>
      <c r="T41" s="249"/>
      <c r="U41" s="249"/>
      <c r="V41" s="249"/>
      <c r="W41" s="249"/>
      <c r="X41" s="313"/>
      <c r="Y41" s="264" t="s">
        <v>52</v>
      </c>
      <c r="Z41" s="264"/>
      <c r="AA41" s="264"/>
      <c r="AB41" s="264"/>
      <c r="AC41" s="265"/>
      <c r="AD41" s="104"/>
      <c r="AE41" s="104"/>
      <c r="AF41" s="104"/>
      <c r="AG41" s="104"/>
      <c r="AH41" s="104"/>
      <c r="AI41" s="104"/>
      <c r="AJ41" s="104"/>
      <c r="AK41" s="104"/>
      <c r="AL41" s="104"/>
      <c r="AM41" s="104"/>
      <c r="AN41" s="104"/>
      <c r="AO41" s="104"/>
      <c r="AP41" s="104"/>
      <c r="AQ41" s="104"/>
      <c r="AR41" s="104"/>
      <c r="AS41" s="104"/>
      <c r="AT41" s="104"/>
      <c r="AU41" s="104"/>
    </row>
    <row r="42" spans="1:55" ht="35.25" customHeight="1">
      <c r="A42" s="452"/>
      <c r="B42" s="319" t="s">
        <v>142</v>
      </c>
      <c r="C42" s="320"/>
      <c r="D42" s="475" t="s">
        <v>165</v>
      </c>
      <c r="E42" s="476"/>
      <c r="F42" s="154" t="s">
        <v>37</v>
      </c>
      <c r="G42" s="152" t="s">
        <v>144</v>
      </c>
      <c r="H42" s="470" t="s">
        <v>143</v>
      </c>
      <c r="I42" s="471"/>
      <c r="J42" s="471"/>
      <c r="K42" s="471"/>
      <c r="L42" s="471"/>
      <c r="M42" s="471"/>
      <c r="N42" s="471"/>
      <c r="O42" s="471"/>
      <c r="P42" s="471"/>
      <c r="Q42" s="471"/>
      <c r="R42" s="472"/>
      <c r="S42" s="473" t="s">
        <v>182</v>
      </c>
      <c r="T42" s="474"/>
      <c r="U42" s="64" t="s">
        <v>146</v>
      </c>
      <c r="V42" s="314" t="s">
        <v>212</v>
      </c>
      <c r="W42" s="315"/>
      <c r="X42" s="64" t="s">
        <v>147</v>
      </c>
      <c r="Y42" s="264" t="s">
        <v>294</v>
      </c>
      <c r="Z42" s="264"/>
      <c r="AA42" s="264"/>
      <c r="AB42" s="264"/>
      <c r="AC42" s="265"/>
      <c r="AD42" s="104"/>
      <c r="AE42" s="104"/>
      <c r="AF42" s="104"/>
      <c r="AG42" s="104"/>
      <c r="AH42" s="104"/>
      <c r="AI42" s="104"/>
      <c r="AJ42" s="104"/>
      <c r="AK42" s="104"/>
      <c r="AL42" s="104"/>
      <c r="AM42" s="104"/>
      <c r="AN42" s="104"/>
      <c r="AO42" s="104"/>
      <c r="AP42" s="104"/>
      <c r="AQ42" s="104"/>
      <c r="AR42" s="104"/>
      <c r="AS42" s="104"/>
      <c r="AT42" s="104"/>
      <c r="AU42" s="104"/>
    </row>
    <row r="43" spans="1:55" ht="24.75" customHeight="1">
      <c r="A43" s="117">
        <v>1</v>
      </c>
      <c r="B43" s="230" t="s">
        <v>151</v>
      </c>
      <c r="C43" s="230"/>
      <c r="D43" s="230">
        <v>14051663310</v>
      </c>
      <c r="E43" s="230"/>
      <c r="F43" s="46" t="s">
        <v>155</v>
      </c>
      <c r="G43" s="46" t="s">
        <v>173</v>
      </c>
      <c r="H43" s="291" t="s">
        <v>154</v>
      </c>
      <c r="I43" s="291"/>
      <c r="J43" s="291"/>
      <c r="K43" s="291"/>
      <c r="L43" s="291"/>
      <c r="M43" s="291"/>
      <c r="N43" s="291"/>
      <c r="O43" s="291"/>
      <c r="P43" s="291"/>
      <c r="Q43" s="291"/>
      <c r="R43" s="291"/>
      <c r="S43" s="427" t="s">
        <v>187</v>
      </c>
      <c r="T43" s="427"/>
      <c r="U43" s="169" t="s">
        <v>11</v>
      </c>
      <c r="V43" s="231"/>
      <c r="W43" s="231"/>
      <c r="X43" s="169"/>
      <c r="Y43" s="266"/>
      <c r="Z43" s="266"/>
      <c r="AA43" s="266"/>
      <c r="AB43" s="266"/>
      <c r="AC43" s="267"/>
      <c r="AD43" s="104"/>
      <c r="AE43" s="104"/>
      <c r="AF43" s="104"/>
      <c r="AG43" s="104"/>
      <c r="AH43" s="104"/>
      <c r="AI43" s="104"/>
      <c r="AJ43" s="104"/>
      <c r="AK43" s="104"/>
      <c r="AL43" s="104"/>
      <c r="AM43" s="104"/>
      <c r="AN43" s="104"/>
      <c r="AO43" s="104"/>
      <c r="AP43" s="104"/>
      <c r="AQ43" s="104"/>
      <c r="AR43" s="104"/>
      <c r="AS43" s="104"/>
      <c r="AT43" s="104"/>
      <c r="AU43" s="104"/>
    </row>
    <row r="44" spans="1:55" ht="24.75" customHeight="1">
      <c r="A44" s="117">
        <v>2</v>
      </c>
      <c r="B44" s="230" t="s">
        <v>209</v>
      </c>
      <c r="C44" s="230"/>
      <c r="D44" s="230">
        <v>14051668101</v>
      </c>
      <c r="E44" s="230"/>
      <c r="F44" s="46" t="s">
        <v>16</v>
      </c>
      <c r="G44" s="46" t="s">
        <v>174</v>
      </c>
      <c r="H44" s="291" t="s">
        <v>157</v>
      </c>
      <c r="I44" s="291"/>
      <c r="J44" s="291"/>
      <c r="K44" s="291"/>
      <c r="L44" s="291"/>
      <c r="M44" s="291"/>
      <c r="N44" s="291"/>
      <c r="O44" s="291"/>
      <c r="P44" s="291"/>
      <c r="Q44" s="291"/>
      <c r="R44" s="291"/>
      <c r="S44" s="427" t="s">
        <v>174</v>
      </c>
      <c r="T44" s="427" t="s">
        <v>174</v>
      </c>
      <c r="U44" s="169" t="s">
        <v>11</v>
      </c>
      <c r="V44" s="231"/>
      <c r="W44" s="231"/>
      <c r="X44" s="169"/>
      <c r="Y44" s="266"/>
      <c r="Z44" s="266"/>
      <c r="AA44" s="266"/>
      <c r="AB44" s="266"/>
      <c r="AC44" s="267"/>
      <c r="AD44" s="104"/>
      <c r="AE44" s="104"/>
      <c r="AF44" s="104"/>
      <c r="AG44" s="104"/>
      <c r="AH44" s="104"/>
      <c r="AI44" s="104"/>
      <c r="AJ44" s="104"/>
      <c r="AK44" s="104"/>
      <c r="AL44" s="104"/>
      <c r="AM44" s="104"/>
      <c r="AN44" s="104"/>
      <c r="AO44" s="104"/>
      <c r="AP44" s="104"/>
      <c r="AQ44" s="104"/>
      <c r="AR44" s="104"/>
      <c r="AS44" s="104"/>
      <c r="AT44" s="104"/>
      <c r="AU44" s="104"/>
    </row>
    <row r="45" spans="1:55" ht="24.75" customHeight="1">
      <c r="A45" s="117">
        <v>3</v>
      </c>
      <c r="B45" s="230" t="s">
        <v>27</v>
      </c>
      <c r="C45" s="230"/>
      <c r="D45" s="230">
        <v>14051228554</v>
      </c>
      <c r="E45" s="230"/>
      <c r="F45" s="46" t="s">
        <v>68</v>
      </c>
      <c r="G45" s="46" t="s">
        <v>168</v>
      </c>
      <c r="H45" s="291" t="s">
        <v>158</v>
      </c>
      <c r="I45" s="291"/>
      <c r="J45" s="291"/>
      <c r="K45" s="291"/>
      <c r="L45" s="291"/>
      <c r="M45" s="291"/>
      <c r="N45" s="291"/>
      <c r="O45" s="291"/>
      <c r="P45" s="291"/>
      <c r="Q45" s="291"/>
      <c r="R45" s="291"/>
      <c r="S45" s="427" t="s">
        <v>168</v>
      </c>
      <c r="T45" s="427" t="s">
        <v>168</v>
      </c>
      <c r="U45" s="169" t="s">
        <v>11</v>
      </c>
      <c r="V45" s="231"/>
      <c r="W45" s="231"/>
      <c r="X45" s="169"/>
      <c r="Y45" s="266"/>
      <c r="Z45" s="266"/>
      <c r="AA45" s="266"/>
      <c r="AB45" s="266"/>
      <c r="AC45" s="267"/>
      <c r="AD45" s="104"/>
      <c r="AE45" s="104"/>
      <c r="AF45" s="104"/>
      <c r="AG45" s="104"/>
      <c r="AH45" s="104"/>
      <c r="AI45" s="104"/>
      <c r="AJ45" s="104"/>
      <c r="AK45" s="104"/>
      <c r="AL45" s="104"/>
      <c r="AM45" s="104"/>
      <c r="AN45" s="104"/>
      <c r="AO45" s="104"/>
      <c r="AP45" s="104"/>
      <c r="AQ45" s="104"/>
      <c r="AR45" s="104"/>
      <c r="AS45" s="104"/>
      <c r="AT45" s="104"/>
      <c r="AU45" s="104"/>
    </row>
    <row r="46" spans="1:55" ht="24.75" customHeight="1">
      <c r="A46" s="117">
        <v>4</v>
      </c>
      <c r="B46" s="230" t="s">
        <v>27</v>
      </c>
      <c r="C46" s="230"/>
      <c r="D46" s="230">
        <v>14051228554</v>
      </c>
      <c r="E46" s="230"/>
      <c r="F46" s="55" t="s">
        <v>10</v>
      </c>
      <c r="G46" s="46" t="s">
        <v>168</v>
      </c>
      <c r="H46" s="291" t="s">
        <v>159</v>
      </c>
      <c r="I46" s="291"/>
      <c r="J46" s="291"/>
      <c r="K46" s="291"/>
      <c r="L46" s="291"/>
      <c r="M46" s="291"/>
      <c r="N46" s="291"/>
      <c r="O46" s="291"/>
      <c r="P46" s="291"/>
      <c r="Q46" s="291"/>
      <c r="R46" s="291"/>
      <c r="S46" s="427" t="s">
        <v>168</v>
      </c>
      <c r="T46" s="427" t="s">
        <v>168</v>
      </c>
      <c r="U46" s="169"/>
      <c r="V46" s="231"/>
      <c r="W46" s="231"/>
      <c r="X46" s="169" t="s">
        <v>11</v>
      </c>
      <c r="Y46" s="266"/>
      <c r="Z46" s="266"/>
      <c r="AA46" s="266"/>
      <c r="AB46" s="266"/>
      <c r="AC46" s="267"/>
      <c r="AD46" s="104"/>
      <c r="AE46" s="104"/>
      <c r="AF46" s="104"/>
      <c r="AG46" s="104"/>
      <c r="AH46" s="104"/>
      <c r="AI46" s="104"/>
      <c r="AJ46" s="104"/>
      <c r="AK46" s="104"/>
      <c r="AL46" s="104"/>
      <c r="AM46" s="104"/>
      <c r="AN46" s="104"/>
      <c r="AO46" s="104"/>
      <c r="AP46" s="104"/>
      <c r="AQ46" s="104"/>
      <c r="AR46" s="104"/>
      <c r="AS46" s="104"/>
      <c r="AT46" s="104"/>
      <c r="AU46" s="104"/>
    </row>
    <row r="47" spans="1:55" ht="24.75" customHeight="1">
      <c r="A47" s="117">
        <v>5</v>
      </c>
      <c r="B47" s="230" t="s">
        <v>28</v>
      </c>
      <c r="C47" s="230"/>
      <c r="D47" s="230">
        <v>14051757719</v>
      </c>
      <c r="E47" s="230"/>
      <c r="F47" s="55" t="s">
        <v>16</v>
      </c>
      <c r="G47" s="46" t="s">
        <v>166</v>
      </c>
      <c r="H47" s="291" t="s">
        <v>160</v>
      </c>
      <c r="I47" s="291"/>
      <c r="J47" s="291"/>
      <c r="K47" s="291"/>
      <c r="L47" s="291"/>
      <c r="M47" s="291"/>
      <c r="N47" s="291"/>
      <c r="O47" s="291"/>
      <c r="P47" s="291"/>
      <c r="Q47" s="291"/>
      <c r="R47" s="291"/>
      <c r="S47" s="427" t="s">
        <v>166</v>
      </c>
      <c r="T47" s="427" t="s">
        <v>166</v>
      </c>
      <c r="U47" s="169"/>
      <c r="V47" s="231"/>
      <c r="W47" s="231"/>
      <c r="X47" s="169" t="s">
        <v>11</v>
      </c>
      <c r="Y47" s="266"/>
      <c r="Z47" s="266"/>
      <c r="AA47" s="266"/>
      <c r="AB47" s="266"/>
      <c r="AC47" s="267"/>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row>
    <row r="48" spans="1:55" ht="24.75" customHeight="1">
      <c r="A48" s="180">
        <v>6</v>
      </c>
      <c r="B48" s="429" t="s">
        <v>206</v>
      </c>
      <c r="C48" s="429"/>
      <c r="D48" s="430">
        <v>14051767321</v>
      </c>
      <c r="E48" s="430"/>
      <c r="F48" s="92" t="s">
        <v>10</v>
      </c>
      <c r="G48" s="93" t="s">
        <v>196</v>
      </c>
      <c r="H48" s="292" t="s">
        <v>197</v>
      </c>
      <c r="I48" s="292"/>
      <c r="J48" s="292"/>
      <c r="K48" s="292"/>
      <c r="L48" s="292"/>
      <c r="M48" s="292"/>
      <c r="N48" s="292"/>
      <c r="O48" s="292"/>
      <c r="P48" s="292"/>
      <c r="Q48" s="292"/>
      <c r="R48" s="292"/>
      <c r="S48" s="428" t="s">
        <v>199</v>
      </c>
      <c r="T48" s="428" t="s">
        <v>199</v>
      </c>
      <c r="U48" s="94"/>
      <c r="V48" s="290" t="s">
        <v>11</v>
      </c>
      <c r="W48" s="290"/>
      <c r="X48" s="94"/>
      <c r="Y48" s="219"/>
      <c r="Z48" s="220"/>
      <c r="AA48" s="220"/>
      <c r="AB48" s="220"/>
      <c r="AC48" s="221"/>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row>
    <row r="49" spans="1:55" ht="24" customHeight="1">
      <c r="A49" s="538" t="s">
        <v>215</v>
      </c>
      <c r="B49" s="539"/>
      <c r="C49" s="539"/>
      <c r="D49" s="539"/>
      <c r="E49" s="539"/>
      <c r="F49" s="539"/>
      <c r="G49" s="539"/>
      <c r="H49" s="539"/>
      <c r="I49" s="539"/>
      <c r="J49" s="539"/>
      <c r="K49" s="539"/>
      <c r="L49" s="539"/>
      <c r="M49" s="539"/>
      <c r="N49" s="539"/>
      <c r="O49" s="539"/>
      <c r="P49" s="539"/>
      <c r="Q49" s="539"/>
      <c r="R49" s="539"/>
      <c r="S49" s="539"/>
      <c r="T49" s="539"/>
      <c r="U49" s="539"/>
      <c r="V49" s="539"/>
      <c r="W49" s="539"/>
      <c r="X49" s="539"/>
      <c r="Y49" s="539"/>
      <c r="Z49" s="539"/>
      <c r="AA49" s="539"/>
      <c r="AB49" s="539"/>
      <c r="AC49" s="540"/>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row>
    <row r="50" spans="1:55" s="1" customFormat="1" ht="21" customHeight="1" thickBot="1">
      <c r="A50" s="448" t="s">
        <v>228</v>
      </c>
      <c r="B50" s="449"/>
      <c r="C50" s="449"/>
      <c r="D50" s="449"/>
      <c r="E50" s="449"/>
      <c r="F50" s="449"/>
      <c r="G50" s="449"/>
      <c r="H50" s="450"/>
      <c r="I50" s="66"/>
      <c r="J50" s="66"/>
      <c r="K50" s="66"/>
      <c r="L50" s="66"/>
      <c r="M50" s="66"/>
      <c r="N50" s="66"/>
      <c r="O50" s="66"/>
      <c r="P50" s="66"/>
      <c r="Q50" s="66"/>
      <c r="R50" s="66"/>
      <c r="S50" s="66"/>
      <c r="T50" s="66"/>
      <c r="U50" s="66"/>
      <c r="V50" s="66"/>
      <c r="W50" s="66"/>
      <c r="X50" s="66"/>
      <c r="Y50" s="95"/>
      <c r="Z50" s="181"/>
      <c r="AA50" s="181"/>
      <c r="AB50" s="181"/>
      <c r="AC50" s="182"/>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row>
    <row r="51" spans="1:55" s="1" customFormat="1" ht="38.25" customHeight="1">
      <c r="A51" s="306" t="s">
        <v>213</v>
      </c>
      <c r="B51" s="108" t="s">
        <v>275</v>
      </c>
      <c r="C51" s="149" t="s">
        <v>218</v>
      </c>
      <c r="D51" s="149" t="s">
        <v>221</v>
      </c>
      <c r="E51" s="316" t="s">
        <v>223</v>
      </c>
      <c r="F51" s="316"/>
      <c r="G51" s="109" t="s">
        <v>224</v>
      </c>
      <c r="H51" s="309" t="s">
        <v>227</v>
      </c>
      <c r="I51" s="66"/>
      <c r="J51" s="66"/>
      <c r="K51" s="66"/>
      <c r="L51" s="66"/>
      <c r="M51" s="66"/>
      <c r="N51" s="66"/>
      <c r="O51" s="66"/>
      <c r="P51" s="66"/>
      <c r="Q51" s="66"/>
      <c r="R51" s="66"/>
      <c r="S51" s="66"/>
      <c r="T51" s="66"/>
      <c r="U51" s="66"/>
      <c r="V51" s="66"/>
      <c r="W51" s="66"/>
      <c r="X51" s="66"/>
      <c r="Y51" s="95"/>
      <c r="Z51" s="181"/>
      <c r="AA51" s="181"/>
      <c r="AB51" s="181"/>
      <c r="AC51" s="182"/>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row>
    <row r="52" spans="1:55" s="1" customFormat="1" ht="26.25">
      <c r="A52" s="307"/>
      <c r="B52" s="105" t="s">
        <v>214</v>
      </c>
      <c r="C52" s="111">
        <v>1904</v>
      </c>
      <c r="D52" s="150">
        <v>1440</v>
      </c>
      <c r="E52" s="317">
        <v>685</v>
      </c>
      <c r="F52" s="317"/>
      <c r="G52" s="150">
        <v>351</v>
      </c>
      <c r="H52" s="310"/>
      <c r="I52" s="66"/>
      <c r="J52" s="66"/>
      <c r="K52" s="66"/>
      <c r="L52" s="66"/>
      <c r="M52" s="66"/>
      <c r="N52" s="66"/>
      <c r="O52" s="66"/>
      <c r="P52" s="66"/>
      <c r="Q52" s="66"/>
      <c r="R52" s="66"/>
      <c r="S52" s="66"/>
      <c r="T52" s="66"/>
      <c r="U52" s="66"/>
      <c r="V52" s="66"/>
      <c r="W52" s="66"/>
      <c r="X52" s="66"/>
      <c r="Y52" s="95"/>
      <c r="Z52" s="181"/>
      <c r="AA52" s="181"/>
      <c r="AB52" s="181"/>
      <c r="AC52" s="182"/>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row>
    <row r="53" spans="1:55" s="1" customFormat="1" ht="18.75" customHeight="1">
      <c r="A53" s="307"/>
      <c r="B53" s="90" t="s">
        <v>219</v>
      </c>
      <c r="C53" s="101">
        <f>'Candle estick Chart'!C36</f>
        <v>2110</v>
      </c>
      <c r="D53" s="151">
        <f>'Candle estick Chart'!B35</f>
        <v>1803</v>
      </c>
      <c r="E53" s="318">
        <v>647</v>
      </c>
      <c r="F53" s="318"/>
      <c r="G53" s="89">
        <v>345</v>
      </c>
      <c r="H53" s="112" t="str">
        <f>IF((OR(C53&gt;C52)+OR(D53&lt;D52)+OR(E53&gt;E52)+OR(G53&gt;G52)),"دارد","-")</f>
        <v>دارد</v>
      </c>
      <c r="I53" s="66"/>
      <c r="J53" s="66"/>
      <c r="K53" s="66"/>
      <c r="L53" s="66"/>
      <c r="M53" s="66"/>
      <c r="N53" s="66"/>
      <c r="O53" s="66"/>
      <c r="P53" s="66"/>
      <c r="Q53" s="66"/>
      <c r="R53" s="66"/>
      <c r="S53" s="66"/>
      <c r="T53" s="66"/>
      <c r="U53" s="66"/>
      <c r="V53" s="66"/>
      <c r="W53" s="66"/>
      <c r="X53" s="66"/>
      <c r="Y53" s="95"/>
      <c r="Z53" s="181"/>
      <c r="AA53" s="181"/>
      <c r="AB53" s="181"/>
      <c r="AC53" s="182"/>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row>
    <row r="54" spans="1:55" s="1" customFormat="1" ht="18.75" customHeight="1">
      <c r="A54" s="307"/>
      <c r="B54" s="90" t="s">
        <v>220</v>
      </c>
      <c r="C54" s="101">
        <f>'Candle estick Chart'!C38</f>
        <v>2100</v>
      </c>
      <c r="D54" s="151">
        <f>'Candle estick Chart'!B37</f>
        <v>1809</v>
      </c>
      <c r="E54" s="318">
        <v>435</v>
      </c>
      <c r="F54" s="318"/>
      <c r="G54" s="89">
        <v>350</v>
      </c>
      <c r="H54" s="112" t="str">
        <f>IF((OR(C54&gt;C52)+OR(D54&lt;D52)+OR(E54&gt;E52)+OR(G54&gt;G52)),"دارد","-")</f>
        <v>دارد</v>
      </c>
      <c r="I54" s="66"/>
      <c r="J54" s="66"/>
      <c r="K54" s="66"/>
      <c r="L54" s="66"/>
      <c r="M54" s="66"/>
      <c r="N54" s="66"/>
      <c r="O54" s="66"/>
      <c r="P54" s="66"/>
      <c r="Q54" s="66"/>
      <c r="R54" s="66"/>
      <c r="S54" s="66"/>
      <c r="T54" s="66"/>
      <c r="U54" s="66"/>
      <c r="V54" s="66"/>
      <c r="W54" s="66"/>
      <c r="X54" s="66"/>
      <c r="Y54" s="95"/>
      <c r="Z54" s="181"/>
      <c r="AA54" s="181"/>
      <c r="AB54" s="181"/>
      <c r="AC54" s="182"/>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row>
    <row r="55" spans="1:55" s="1" customFormat="1" ht="18.75" customHeight="1">
      <c r="A55" s="307"/>
      <c r="B55" s="90" t="s">
        <v>222</v>
      </c>
      <c r="C55" s="101">
        <f>'Candle estick Chart'!C40</f>
        <v>2105</v>
      </c>
      <c r="D55" s="113">
        <f>'Candle estick Chart'!B39</f>
        <v>1813</v>
      </c>
      <c r="E55" s="318">
        <v>651</v>
      </c>
      <c r="F55" s="318"/>
      <c r="G55" s="89">
        <v>337</v>
      </c>
      <c r="H55" s="112" t="str">
        <f>IF((OR(C55&gt;C52)+OR(D55&lt;D52)+OR(E55&gt;E52)+OR(G55&gt;G52)),"دارد","-")</f>
        <v>دارد</v>
      </c>
      <c r="I55" s="66"/>
      <c r="J55" s="66"/>
      <c r="K55" s="66"/>
      <c r="L55" s="66"/>
      <c r="M55" s="66"/>
      <c r="N55" s="66"/>
      <c r="O55" s="66"/>
      <c r="P55" s="66"/>
      <c r="Q55" s="66"/>
      <c r="R55" s="66"/>
      <c r="S55" s="66"/>
      <c r="T55" s="66"/>
      <c r="U55" s="66"/>
      <c r="V55" s="66"/>
      <c r="W55" s="66"/>
      <c r="X55" s="66"/>
      <c r="Y55" s="95"/>
      <c r="Z55" s="181"/>
      <c r="AA55" s="181"/>
      <c r="AB55" s="181"/>
      <c r="AC55" s="182"/>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row>
    <row r="56" spans="1:55" s="1" customFormat="1" ht="18.75" customHeight="1">
      <c r="A56" s="307"/>
      <c r="B56" s="90" t="s">
        <v>226</v>
      </c>
      <c r="C56" s="101">
        <f>'Candle estick Chart'!C42</f>
        <v>2097</v>
      </c>
      <c r="D56" s="151">
        <f>'Candle estick Chart'!B41</f>
        <v>1806</v>
      </c>
      <c r="E56" s="318">
        <v>619</v>
      </c>
      <c r="F56" s="318"/>
      <c r="G56" s="89">
        <v>342</v>
      </c>
      <c r="H56" s="112" t="str">
        <f>IF((OR(C56&gt;C52)+OR(D56&lt;D52)+OR(E56&gt;E52)+OR(G56&gt;G52)),"دارد","-")</f>
        <v>دارد</v>
      </c>
      <c r="I56" s="66"/>
      <c r="J56" s="66"/>
      <c r="K56" s="66"/>
      <c r="L56" s="66"/>
      <c r="M56" s="66"/>
      <c r="N56" s="66"/>
      <c r="O56" s="66"/>
      <c r="P56" s="66"/>
      <c r="Q56" s="66"/>
      <c r="R56" s="66"/>
      <c r="S56" s="66"/>
      <c r="T56" s="66"/>
      <c r="U56" s="66"/>
      <c r="V56" s="66"/>
      <c r="W56" s="66"/>
      <c r="X56" s="66"/>
      <c r="Y56" s="95"/>
      <c r="Z56" s="181"/>
      <c r="AA56" s="181"/>
      <c r="AB56" s="181"/>
      <c r="AC56" s="182"/>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row>
    <row r="57" spans="1:55" s="1" customFormat="1" ht="18.75" customHeight="1" thickBot="1">
      <c r="A57" s="308"/>
      <c r="B57" s="91" t="s">
        <v>225</v>
      </c>
      <c r="C57" s="106">
        <f>'Candle estick Chart'!C44</f>
        <v>2099</v>
      </c>
      <c r="D57" s="155">
        <f>'Candle estick Chart'!B43</f>
        <v>1816</v>
      </c>
      <c r="E57" s="299">
        <v>540</v>
      </c>
      <c r="F57" s="299"/>
      <c r="G57" s="107">
        <v>353</v>
      </c>
      <c r="H57" s="112" t="str">
        <f>IF((OR(C57&gt;C52)+OR(D57&lt;D52)+OR(E57&gt;E52)+OR(G57&gt;G52)),"دارد","-")</f>
        <v>دارد</v>
      </c>
      <c r="I57" s="66"/>
      <c r="J57" s="66"/>
      <c r="K57" s="66"/>
      <c r="L57" s="66"/>
      <c r="M57" s="66"/>
      <c r="N57" s="66"/>
      <c r="O57" s="66"/>
      <c r="P57" s="66"/>
      <c r="Q57" s="66"/>
      <c r="R57" s="66"/>
      <c r="S57" s="66"/>
      <c r="T57" s="66"/>
      <c r="U57" s="66"/>
      <c r="V57" s="66"/>
      <c r="W57" s="66"/>
      <c r="X57" s="66"/>
      <c r="Y57" s="95"/>
      <c r="Z57" s="181"/>
      <c r="AA57" s="181"/>
      <c r="AB57" s="181"/>
      <c r="AC57" s="182"/>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row>
    <row r="58" spans="1:55" s="1" customFormat="1" ht="18.75" customHeight="1">
      <c r="A58" s="300" t="s">
        <v>276</v>
      </c>
      <c r="B58" s="301"/>
      <c r="C58" s="301"/>
      <c r="D58" s="301"/>
      <c r="E58" s="301"/>
      <c r="F58" s="301"/>
      <c r="G58" s="302"/>
      <c r="H58" s="110" t="s">
        <v>274</v>
      </c>
      <c r="I58" s="66"/>
      <c r="J58" s="66"/>
      <c r="K58" s="66"/>
      <c r="L58" s="66"/>
      <c r="M58" s="66"/>
      <c r="N58" s="66"/>
      <c r="O58" s="66"/>
      <c r="P58" s="66"/>
      <c r="Q58" s="66"/>
      <c r="R58" s="66"/>
      <c r="S58" s="66"/>
      <c r="T58" s="66"/>
      <c r="U58" s="66"/>
      <c r="V58" s="66"/>
      <c r="W58" s="66"/>
      <c r="X58" s="66"/>
      <c r="Y58" s="95"/>
      <c r="Z58" s="181"/>
      <c r="AA58" s="181"/>
      <c r="AB58" s="181"/>
      <c r="AC58" s="182"/>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row>
    <row r="59" spans="1:55" s="1" customFormat="1" ht="15" customHeight="1">
      <c r="A59" s="300"/>
      <c r="B59" s="301"/>
      <c r="C59" s="301"/>
      <c r="D59" s="301"/>
      <c r="E59" s="301"/>
      <c r="F59" s="301"/>
      <c r="G59" s="302"/>
      <c r="H59" s="63" t="s">
        <v>219</v>
      </c>
      <c r="I59" s="268"/>
      <c r="J59" s="269"/>
      <c r="K59" s="269"/>
      <c r="L59" s="269"/>
      <c r="M59" s="269"/>
      <c r="N59" s="269"/>
      <c r="O59" s="269"/>
      <c r="P59" s="269"/>
      <c r="Q59" s="269"/>
      <c r="R59" s="269"/>
      <c r="S59" s="269"/>
      <c r="T59" s="269"/>
      <c r="U59" s="269"/>
      <c r="V59" s="269"/>
      <c r="W59" s="269"/>
      <c r="X59" s="269"/>
      <c r="Y59" s="269"/>
      <c r="Z59" s="269"/>
      <c r="AA59" s="269"/>
      <c r="AB59" s="269"/>
      <c r="AC59" s="270"/>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row>
    <row r="60" spans="1:55" s="1" customFormat="1" ht="15" customHeight="1">
      <c r="A60" s="300"/>
      <c r="B60" s="301"/>
      <c r="C60" s="301"/>
      <c r="D60" s="301"/>
      <c r="E60" s="301"/>
      <c r="F60" s="301"/>
      <c r="G60" s="302"/>
      <c r="H60" s="63" t="s">
        <v>220</v>
      </c>
      <c r="I60" s="268"/>
      <c r="J60" s="269"/>
      <c r="K60" s="269"/>
      <c r="L60" s="269"/>
      <c r="M60" s="269"/>
      <c r="N60" s="269"/>
      <c r="O60" s="269"/>
      <c r="P60" s="269"/>
      <c r="Q60" s="269"/>
      <c r="R60" s="269"/>
      <c r="S60" s="269"/>
      <c r="T60" s="269"/>
      <c r="U60" s="269"/>
      <c r="V60" s="269"/>
      <c r="W60" s="269"/>
      <c r="X60" s="269"/>
      <c r="Y60" s="269"/>
      <c r="Z60" s="269"/>
      <c r="AA60" s="269"/>
      <c r="AB60" s="269"/>
      <c r="AC60" s="270"/>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row>
    <row r="61" spans="1:55" s="1" customFormat="1" ht="15" customHeight="1">
      <c r="A61" s="300"/>
      <c r="B61" s="301"/>
      <c r="C61" s="301"/>
      <c r="D61" s="301"/>
      <c r="E61" s="301"/>
      <c r="F61" s="301"/>
      <c r="G61" s="302"/>
      <c r="H61" s="63" t="s">
        <v>222</v>
      </c>
      <c r="I61" s="268"/>
      <c r="J61" s="269"/>
      <c r="K61" s="269"/>
      <c r="L61" s="269"/>
      <c r="M61" s="269"/>
      <c r="N61" s="269"/>
      <c r="O61" s="269"/>
      <c r="P61" s="269"/>
      <c r="Q61" s="269"/>
      <c r="R61" s="269"/>
      <c r="S61" s="269"/>
      <c r="T61" s="269"/>
      <c r="U61" s="269"/>
      <c r="V61" s="269"/>
      <c r="W61" s="269"/>
      <c r="X61" s="269"/>
      <c r="Y61" s="269"/>
      <c r="Z61" s="269"/>
      <c r="AA61" s="269"/>
      <c r="AB61" s="269"/>
      <c r="AC61" s="270"/>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row>
    <row r="62" spans="1:55" s="1" customFormat="1" ht="15" customHeight="1">
      <c r="A62" s="300"/>
      <c r="B62" s="301"/>
      <c r="C62" s="301"/>
      <c r="D62" s="301"/>
      <c r="E62" s="301"/>
      <c r="F62" s="301"/>
      <c r="G62" s="302"/>
      <c r="H62" s="63" t="s">
        <v>226</v>
      </c>
      <c r="I62" s="268"/>
      <c r="J62" s="269"/>
      <c r="K62" s="269"/>
      <c r="L62" s="269"/>
      <c r="M62" s="269"/>
      <c r="N62" s="269"/>
      <c r="O62" s="269"/>
      <c r="P62" s="269"/>
      <c r="Q62" s="269"/>
      <c r="R62" s="269"/>
      <c r="S62" s="269"/>
      <c r="T62" s="269"/>
      <c r="U62" s="269"/>
      <c r="V62" s="269"/>
      <c r="W62" s="269"/>
      <c r="X62" s="269"/>
      <c r="Y62" s="269"/>
      <c r="Z62" s="269"/>
      <c r="AA62" s="269"/>
      <c r="AB62" s="269"/>
      <c r="AC62" s="270"/>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row>
    <row r="63" spans="1:55" s="1" customFormat="1" ht="15" customHeight="1" thickBot="1">
      <c r="A63" s="303"/>
      <c r="B63" s="304"/>
      <c r="C63" s="304"/>
      <c r="D63" s="304"/>
      <c r="E63" s="304"/>
      <c r="F63" s="304"/>
      <c r="G63" s="305"/>
      <c r="H63" s="96" t="s">
        <v>225</v>
      </c>
      <c r="I63" s="271"/>
      <c r="J63" s="272"/>
      <c r="K63" s="272"/>
      <c r="L63" s="272"/>
      <c r="M63" s="272"/>
      <c r="N63" s="272"/>
      <c r="O63" s="272"/>
      <c r="P63" s="272"/>
      <c r="Q63" s="272"/>
      <c r="R63" s="272"/>
      <c r="S63" s="272"/>
      <c r="T63" s="272"/>
      <c r="U63" s="272"/>
      <c r="V63" s="272"/>
      <c r="W63" s="272"/>
      <c r="X63" s="272"/>
      <c r="Y63" s="272"/>
      <c r="Z63" s="272"/>
      <c r="AA63" s="272"/>
      <c r="AB63" s="272"/>
      <c r="AC63" s="273"/>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row>
    <row r="64" spans="1:55" ht="33" customHeight="1" thickTop="1">
      <c r="A64" s="245" t="s">
        <v>273</v>
      </c>
      <c r="B64" s="246"/>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c r="AA64" s="246"/>
      <c r="AB64" s="246"/>
      <c r="AC64" s="247"/>
      <c r="AD64" s="104"/>
      <c r="AE64" s="104"/>
      <c r="AF64" s="104"/>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row>
    <row r="65" spans="1:55" ht="30.75" customHeight="1">
      <c r="A65" s="293" t="s">
        <v>0</v>
      </c>
      <c r="B65" s="264" t="s">
        <v>284</v>
      </c>
      <c r="C65" s="264"/>
      <c r="D65" s="264"/>
      <c r="E65" s="264"/>
      <c r="F65" s="264"/>
      <c r="G65" s="264"/>
      <c r="H65" s="264"/>
      <c r="I65" s="264"/>
      <c r="J65" s="264"/>
      <c r="K65" s="264"/>
      <c r="L65" s="264"/>
      <c r="M65" s="264"/>
      <c r="N65" s="264"/>
      <c r="O65" s="264"/>
      <c r="P65" s="264"/>
      <c r="Q65" s="264"/>
      <c r="R65" s="264" t="s">
        <v>285</v>
      </c>
      <c r="S65" s="264"/>
      <c r="T65" s="264"/>
      <c r="U65" s="264"/>
      <c r="V65" s="264"/>
      <c r="W65" s="264"/>
      <c r="X65" s="264"/>
      <c r="Y65" s="248" t="s">
        <v>52</v>
      </c>
      <c r="Z65" s="249"/>
      <c r="AA65" s="249"/>
      <c r="AB65" s="249"/>
      <c r="AC65" s="250"/>
      <c r="AD65" s="104"/>
      <c r="AE65" s="104"/>
      <c r="AF65" s="104"/>
      <c r="AG65" s="104"/>
      <c r="AH65" s="104"/>
      <c r="AI65" s="104"/>
      <c r="AJ65" s="104"/>
      <c r="AK65" s="104"/>
      <c r="AL65" s="104"/>
      <c r="AM65" s="104"/>
      <c r="AN65" s="104"/>
      <c r="AO65" s="104"/>
      <c r="AP65" s="104"/>
      <c r="AQ65" s="104"/>
      <c r="AR65" s="104"/>
      <c r="AS65" s="104"/>
      <c r="AT65" s="104"/>
      <c r="AU65" s="104"/>
    </row>
    <row r="66" spans="1:55" ht="35.25" customHeight="1">
      <c r="A66" s="293"/>
      <c r="B66" s="294" t="s">
        <v>278</v>
      </c>
      <c r="C66" s="294"/>
      <c r="D66" s="295" t="s">
        <v>165</v>
      </c>
      <c r="E66" s="295"/>
      <c r="F66" s="154" t="s">
        <v>37</v>
      </c>
      <c r="G66" s="152" t="s">
        <v>291</v>
      </c>
      <c r="H66" s="298" t="s">
        <v>143</v>
      </c>
      <c r="I66" s="298"/>
      <c r="J66" s="298"/>
      <c r="K66" s="298"/>
      <c r="L66" s="298"/>
      <c r="M66" s="298"/>
      <c r="N66" s="298"/>
      <c r="O66" s="298"/>
      <c r="P66" s="298"/>
      <c r="Q66" s="298"/>
      <c r="R66" s="296" t="s">
        <v>296</v>
      </c>
      <c r="S66" s="297"/>
      <c r="T66" s="124" t="s">
        <v>293</v>
      </c>
      <c r="U66" s="127" t="s">
        <v>146</v>
      </c>
      <c r="V66" s="295" t="s">
        <v>212</v>
      </c>
      <c r="W66" s="295"/>
      <c r="X66" s="153" t="s">
        <v>292</v>
      </c>
      <c r="Y66" s="248" t="s">
        <v>294</v>
      </c>
      <c r="Z66" s="249"/>
      <c r="AA66" s="249"/>
      <c r="AB66" s="249"/>
      <c r="AC66" s="250"/>
      <c r="AD66" s="104"/>
      <c r="AE66" s="104"/>
      <c r="AF66" s="104"/>
      <c r="AG66" s="104"/>
      <c r="AH66" s="104"/>
      <c r="AI66" s="104"/>
      <c r="AJ66" s="104"/>
      <c r="AK66" s="104"/>
      <c r="AL66" s="104"/>
      <c r="AM66" s="104"/>
      <c r="AN66" s="104"/>
      <c r="AO66" s="104"/>
      <c r="AP66" s="104"/>
      <c r="AQ66" s="104"/>
      <c r="AR66" s="104"/>
      <c r="AS66" s="104"/>
      <c r="AT66" s="104"/>
      <c r="AU66" s="104"/>
    </row>
    <row r="67" spans="1:55" ht="24.75" customHeight="1">
      <c r="A67" s="117">
        <v>1</v>
      </c>
      <c r="B67" s="260" t="s">
        <v>279</v>
      </c>
      <c r="C67" s="260"/>
      <c r="D67" s="230">
        <v>14051663235</v>
      </c>
      <c r="E67" s="230"/>
      <c r="F67" s="130" t="s">
        <v>305</v>
      </c>
      <c r="G67" s="46" t="s">
        <v>173</v>
      </c>
      <c r="H67" s="232" t="s">
        <v>306</v>
      </c>
      <c r="I67" s="232"/>
      <c r="J67" s="232"/>
      <c r="K67" s="232"/>
      <c r="L67" s="232"/>
      <c r="M67" s="232"/>
      <c r="N67" s="232"/>
      <c r="O67" s="232"/>
      <c r="P67" s="232"/>
      <c r="Q67" s="232"/>
      <c r="R67" s="230" t="s">
        <v>295</v>
      </c>
      <c r="S67" s="230"/>
      <c r="T67" s="146" t="s">
        <v>297</v>
      </c>
      <c r="U67" s="125" t="s">
        <v>11</v>
      </c>
      <c r="V67" s="231"/>
      <c r="W67" s="231"/>
      <c r="X67" s="136">
        <v>2</v>
      </c>
      <c r="Y67" s="239" t="s">
        <v>311</v>
      </c>
      <c r="Z67" s="240"/>
      <c r="AA67" s="240"/>
      <c r="AB67" s="240"/>
      <c r="AC67" s="241"/>
      <c r="AD67" s="104"/>
      <c r="AE67" s="104"/>
      <c r="AF67" s="104"/>
      <c r="AG67" s="104"/>
      <c r="AH67" s="104"/>
      <c r="AI67" s="104"/>
      <c r="AJ67" s="104"/>
      <c r="AK67" s="104"/>
      <c r="AL67" s="104"/>
      <c r="AM67" s="104"/>
      <c r="AN67" s="104"/>
      <c r="AO67" s="104"/>
      <c r="AP67" s="104"/>
      <c r="AQ67" s="104"/>
      <c r="AR67" s="104"/>
      <c r="AS67" s="104"/>
      <c r="AT67" s="104"/>
      <c r="AU67" s="104"/>
    </row>
    <row r="68" spans="1:55" ht="24.75" customHeight="1">
      <c r="A68" s="117">
        <v>2</v>
      </c>
      <c r="B68" s="260" t="s">
        <v>280</v>
      </c>
      <c r="C68" s="260"/>
      <c r="D68" s="230">
        <v>14051621101</v>
      </c>
      <c r="E68" s="230"/>
      <c r="F68" s="46" t="s">
        <v>16</v>
      </c>
      <c r="G68" s="46" t="s">
        <v>174</v>
      </c>
      <c r="H68" s="255" t="s">
        <v>288</v>
      </c>
      <c r="I68" s="255"/>
      <c r="J68" s="255"/>
      <c r="K68" s="255"/>
      <c r="L68" s="255"/>
      <c r="M68" s="255"/>
      <c r="N68" s="255"/>
      <c r="O68" s="255"/>
      <c r="P68" s="255"/>
      <c r="Q68" s="255"/>
      <c r="R68" s="230" t="s">
        <v>301</v>
      </c>
      <c r="S68" s="230"/>
      <c r="T68" s="146" t="s">
        <v>295</v>
      </c>
      <c r="U68" s="125"/>
      <c r="V68" s="231" t="s">
        <v>11</v>
      </c>
      <c r="W68" s="231"/>
      <c r="X68" s="136">
        <v>1</v>
      </c>
      <c r="Y68" s="239"/>
      <c r="Z68" s="240"/>
      <c r="AA68" s="240"/>
      <c r="AB68" s="240"/>
      <c r="AC68" s="241"/>
      <c r="AD68" s="104"/>
      <c r="AE68" s="104"/>
      <c r="AF68" s="104"/>
      <c r="AG68" s="104"/>
      <c r="AH68" s="104"/>
      <c r="AI68" s="104"/>
      <c r="AJ68" s="104"/>
      <c r="AK68" s="104"/>
      <c r="AL68" s="104"/>
      <c r="AM68" s="104"/>
      <c r="AN68" s="104"/>
      <c r="AO68" s="104"/>
      <c r="AP68" s="104"/>
      <c r="AQ68" s="104"/>
      <c r="AR68" s="104"/>
      <c r="AS68" s="104"/>
      <c r="AT68" s="104"/>
      <c r="AU68" s="104"/>
    </row>
    <row r="69" spans="1:55" ht="24.75" customHeight="1">
      <c r="A69" s="117">
        <v>3</v>
      </c>
      <c r="B69" s="260" t="s">
        <v>281</v>
      </c>
      <c r="C69" s="260"/>
      <c r="D69" s="230">
        <v>14051228333</v>
      </c>
      <c r="E69" s="230"/>
      <c r="F69" s="120" t="s">
        <v>305</v>
      </c>
      <c r="G69" s="46" t="s">
        <v>300</v>
      </c>
      <c r="H69" s="255" t="s">
        <v>287</v>
      </c>
      <c r="I69" s="255"/>
      <c r="J69" s="255"/>
      <c r="K69" s="255"/>
      <c r="L69" s="255"/>
      <c r="M69" s="255"/>
      <c r="N69" s="255"/>
      <c r="O69" s="255"/>
      <c r="P69" s="255"/>
      <c r="Q69" s="255"/>
      <c r="R69" s="230" t="s">
        <v>302</v>
      </c>
      <c r="S69" s="230"/>
      <c r="T69" s="146" t="s">
        <v>168</v>
      </c>
      <c r="U69" s="125" t="s">
        <v>11</v>
      </c>
      <c r="V69" s="231"/>
      <c r="W69" s="231"/>
      <c r="X69" s="138">
        <v>0</v>
      </c>
      <c r="Y69" s="239" t="s">
        <v>312</v>
      </c>
      <c r="Z69" s="240"/>
      <c r="AA69" s="240"/>
      <c r="AB69" s="240"/>
      <c r="AC69" s="241"/>
      <c r="AD69" s="104"/>
      <c r="AE69" s="104"/>
      <c r="AF69" s="104"/>
      <c r="AG69" s="104"/>
      <c r="AH69" s="104"/>
      <c r="AI69" s="104"/>
      <c r="AJ69" s="104"/>
      <c r="AK69" s="104"/>
      <c r="AL69" s="104"/>
      <c r="AM69" s="104"/>
      <c r="AN69" s="104"/>
      <c r="AO69" s="104"/>
      <c r="AP69" s="104"/>
      <c r="AQ69" s="104"/>
      <c r="AR69" s="104"/>
      <c r="AS69" s="104"/>
      <c r="AT69" s="104"/>
      <c r="AU69" s="104"/>
    </row>
    <row r="70" spans="1:55" ht="24.75" customHeight="1">
      <c r="A70" s="117">
        <v>4</v>
      </c>
      <c r="B70" s="232" t="s">
        <v>282</v>
      </c>
      <c r="C70" s="233"/>
      <c r="D70" s="230">
        <v>14051228119</v>
      </c>
      <c r="E70" s="230"/>
      <c r="F70" s="55" t="s">
        <v>155</v>
      </c>
      <c r="G70" s="46" t="s">
        <v>299</v>
      </c>
      <c r="H70" s="289" t="s">
        <v>277</v>
      </c>
      <c r="I70" s="289"/>
      <c r="J70" s="289"/>
      <c r="K70" s="289"/>
      <c r="L70" s="289"/>
      <c r="M70" s="289"/>
      <c r="N70" s="289"/>
      <c r="O70" s="289"/>
      <c r="P70" s="289"/>
      <c r="Q70" s="289"/>
      <c r="R70" s="230" t="s">
        <v>303</v>
      </c>
      <c r="S70" s="230"/>
      <c r="T70" s="146" t="s">
        <v>289</v>
      </c>
      <c r="U70" s="125" t="s">
        <v>11</v>
      </c>
      <c r="V70" s="231"/>
      <c r="W70" s="231"/>
      <c r="X70" s="136">
        <v>1</v>
      </c>
      <c r="Y70" s="239"/>
      <c r="Z70" s="240"/>
      <c r="AA70" s="240"/>
      <c r="AB70" s="240"/>
      <c r="AC70" s="241"/>
      <c r="AD70" s="104"/>
      <c r="AE70" s="104"/>
      <c r="AF70" s="104"/>
      <c r="AG70" s="104"/>
      <c r="AH70" s="104"/>
      <c r="AI70" s="104"/>
      <c r="AJ70" s="104"/>
      <c r="AK70" s="104"/>
      <c r="AL70" s="104"/>
      <c r="AM70" s="104"/>
      <c r="AN70" s="104"/>
      <c r="AO70" s="104"/>
      <c r="AP70" s="104"/>
      <c r="AQ70" s="104"/>
      <c r="AR70" s="104"/>
      <c r="AS70" s="104"/>
      <c r="AT70" s="104"/>
      <c r="AU70" s="104"/>
    </row>
    <row r="71" spans="1:55" ht="24.75" customHeight="1">
      <c r="A71" s="117">
        <v>5</v>
      </c>
      <c r="B71" s="254" t="s">
        <v>283</v>
      </c>
      <c r="C71" s="254"/>
      <c r="D71" s="230">
        <v>14051428126</v>
      </c>
      <c r="E71" s="230"/>
      <c r="F71" s="129" t="s">
        <v>307</v>
      </c>
      <c r="G71" s="46" t="s">
        <v>308</v>
      </c>
      <c r="H71" s="255" t="s">
        <v>286</v>
      </c>
      <c r="I71" s="255"/>
      <c r="J71" s="255"/>
      <c r="K71" s="255"/>
      <c r="L71" s="255"/>
      <c r="M71" s="255"/>
      <c r="N71" s="255"/>
      <c r="O71" s="255"/>
      <c r="P71" s="255"/>
      <c r="Q71" s="255"/>
      <c r="R71" s="230" t="s">
        <v>309</v>
      </c>
      <c r="S71" s="230"/>
      <c r="T71" s="146" t="s">
        <v>310</v>
      </c>
      <c r="U71" s="125"/>
      <c r="V71" s="231" t="s">
        <v>11</v>
      </c>
      <c r="W71" s="231"/>
      <c r="X71" s="136">
        <v>2</v>
      </c>
      <c r="Y71" s="239"/>
      <c r="Z71" s="240"/>
      <c r="AA71" s="240"/>
      <c r="AB71" s="240"/>
      <c r="AC71" s="241"/>
      <c r="AD71" s="104"/>
      <c r="AE71" s="104"/>
      <c r="AF71" s="104"/>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row>
    <row r="72" spans="1:55" ht="24.75" customHeight="1" thickBot="1">
      <c r="A72" s="118">
        <v>6</v>
      </c>
      <c r="B72" s="256" t="s">
        <v>283</v>
      </c>
      <c r="C72" s="256"/>
      <c r="D72" s="257">
        <v>14051127710</v>
      </c>
      <c r="E72" s="257"/>
      <c r="F72" s="123" t="s">
        <v>16</v>
      </c>
      <c r="G72" s="119" t="s">
        <v>298</v>
      </c>
      <c r="H72" s="259" t="s">
        <v>160</v>
      </c>
      <c r="I72" s="259"/>
      <c r="J72" s="259"/>
      <c r="K72" s="259"/>
      <c r="L72" s="259"/>
      <c r="M72" s="259"/>
      <c r="N72" s="259"/>
      <c r="O72" s="259"/>
      <c r="P72" s="259"/>
      <c r="Q72" s="259"/>
      <c r="R72" s="257" t="s">
        <v>304</v>
      </c>
      <c r="S72" s="257"/>
      <c r="T72" s="156" t="s">
        <v>290</v>
      </c>
      <c r="U72" s="126"/>
      <c r="V72" s="258" t="s">
        <v>11</v>
      </c>
      <c r="W72" s="258"/>
      <c r="X72" s="137">
        <v>3</v>
      </c>
      <c r="Y72" s="242" t="s">
        <v>313</v>
      </c>
      <c r="Z72" s="243"/>
      <c r="AA72" s="243"/>
      <c r="AB72" s="243"/>
      <c r="AC72" s="24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row>
    <row r="73" spans="1:55" ht="23.25" customHeight="1" thickTop="1" thickBot="1">
      <c r="A73" s="245" t="s">
        <v>314</v>
      </c>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c r="AA73" s="246"/>
      <c r="AB73" s="246"/>
      <c r="AC73" s="247"/>
    </row>
    <row r="74" spans="1:55" ht="29.25" customHeight="1">
      <c r="A74" s="251" t="s">
        <v>262</v>
      </c>
      <c r="B74" s="252"/>
      <c r="C74" s="252"/>
      <c r="D74" s="252"/>
      <c r="E74" s="252"/>
      <c r="F74" s="253"/>
      <c r="G74" s="556" t="s">
        <v>261</v>
      </c>
      <c r="H74" s="557"/>
      <c r="I74" s="557"/>
      <c r="J74" s="557"/>
      <c r="K74" s="557"/>
      <c r="L74" s="557"/>
      <c r="M74" s="557"/>
      <c r="N74" s="557"/>
      <c r="O74" s="558"/>
      <c r="P74" s="544" t="s">
        <v>365</v>
      </c>
      <c r="Q74" s="545"/>
      <c r="R74" s="545"/>
      <c r="S74" s="546"/>
      <c r="T74" s="549" t="s">
        <v>369</v>
      </c>
      <c r="U74" s="550"/>
      <c r="V74" s="550"/>
      <c r="W74" s="550"/>
      <c r="X74" s="551"/>
      <c r="Y74" s="248" t="s">
        <v>52</v>
      </c>
      <c r="Z74" s="249"/>
      <c r="AA74" s="249"/>
      <c r="AB74" s="249"/>
      <c r="AC74" s="250"/>
    </row>
    <row r="75" spans="1:55" ht="47.25" customHeight="1">
      <c r="A75" s="198" t="s">
        <v>0</v>
      </c>
      <c r="B75" s="226" t="s">
        <v>258</v>
      </c>
      <c r="C75" s="226"/>
      <c r="D75" s="226" t="s">
        <v>362</v>
      </c>
      <c r="E75" s="226"/>
      <c r="F75" s="227"/>
      <c r="G75" s="201" t="s">
        <v>385</v>
      </c>
      <c r="H75" s="529" t="s">
        <v>384</v>
      </c>
      <c r="I75" s="529"/>
      <c r="J75" s="530" t="s">
        <v>363</v>
      </c>
      <c r="K75" s="530"/>
      <c r="L75" s="547" t="s">
        <v>367</v>
      </c>
      <c r="M75" s="547"/>
      <c r="N75" s="203" t="s">
        <v>366</v>
      </c>
      <c r="O75" s="212" t="s">
        <v>364</v>
      </c>
      <c r="P75" s="209" t="s">
        <v>371</v>
      </c>
      <c r="Q75" s="210" t="s">
        <v>386</v>
      </c>
      <c r="R75" s="516" t="s">
        <v>370</v>
      </c>
      <c r="S75" s="517"/>
      <c r="T75" s="552" t="s">
        <v>368</v>
      </c>
      <c r="U75" s="553"/>
      <c r="V75" s="554" t="s">
        <v>375</v>
      </c>
      <c r="W75" s="554"/>
      <c r="X75" s="555"/>
      <c r="Y75" s="248" t="s">
        <v>294</v>
      </c>
      <c r="Z75" s="249"/>
      <c r="AA75" s="249"/>
      <c r="AB75" s="249"/>
      <c r="AC75" s="250"/>
    </row>
    <row r="76" spans="1:55" ht="26.25" customHeight="1">
      <c r="A76" s="183">
        <v>1</v>
      </c>
      <c r="B76" s="524" t="str">
        <f>[1]Sheet2!B3</f>
        <v>فروردين 1405</v>
      </c>
      <c r="C76" s="524"/>
      <c r="D76" s="228">
        <v>4877</v>
      </c>
      <c r="E76" s="228"/>
      <c r="F76" s="229"/>
      <c r="G76" s="199">
        <f>[1]Sheet2!F3</f>
        <v>7</v>
      </c>
      <c r="H76" s="518">
        <f>[1]Sheet2!H3</f>
        <v>0</v>
      </c>
      <c r="I76" s="518"/>
      <c r="J76" s="518">
        <f>[1]Sheet2!J3</f>
        <v>24</v>
      </c>
      <c r="K76" s="518"/>
      <c r="L76" s="666">
        <f>G76+H76</f>
        <v>7</v>
      </c>
      <c r="M76" s="548"/>
      <c r="N76" s="204">
        <v>31</v>
      </c>
      <c r="O76" s="207">
        <v>21</v>
      </c>
      <c r="P76" s="209" t="s">
        <v>372</v>
      </c>
      <c r="Q76" s="667">
        <f>O77/((N77-N76)*3+O76)-1</f>
        <v>2.2857142857142856</v>
      </c>
      <c r="R76" s="669">
        <f>N76/N77*D77/D76-1</f>
        <v>1.9725240926799263</v>
      </c>
      <c r="S76" s="670"/>
      <c r="T76" s="543">
        <v>27639625553</v>
      </c>
      <c r="U76" s="234"/>
      <c r="V76" s="541">
        <f>T76/D76</f>
        <v>5667341.7168341195</v>
      </c>
      <c r="W76" s="541"/>
      <c r="X76" s="542"/>
      <c r="Y76" s="501" t="s">
        <v>383</v>
      </c>
      <c r="Z76" s="502"/>
      <c r="AA76" s="502"/>
      <c r="AB76" s="502"/>
      <c r="AC76" s="503"/>
    </row>
    <row r="77" spans="1:55" ht="26.25" customHeight="1">
      <c r="A77" s="184">
        <v>2</v>
      </c>
      <c r="B77" s="496" t="str">
        <f>[1]Sheet2!B5</f>
        <v>ارديبهشت 1405</v>
      </c>
      <c r="C77" s="496"/>
      <c r="D77" s="510">
        <v>14497</v>
      </c>
      <c r="E77" s="510"/>
      <c r="F77" s="511"/>
      <c r="G77" s="200">
        <f>[1]Sheet2!F5</f>
        <v>22</v>
      </c>
      <c r="H77" s="519">
        <f>[1]Sheet2!H5</f>
        <v>1</v>
      </c>
      <c r="I77" s="519"/>
      <c r="J77" s="519">
        <f>[1]Sheet2!J5</f>
        <v>8</v>
      </c>
      <c r="K77" s="519"/>
      <c r="L77" s="548">
        <f t="shared" ref="L77:L78" si="0">G77+H77</f>
        <v>23</v>
      </c>
      <c r="M77" s="548"/>
      <c r="N77" s="204">
        <v>31</v>
      </c>
      <c r="O77" s="207">
        <v>69</v>
      </c>
      <c r="P77" s="209" t="s">
        <v>373</v>
      </c>
      <c r="Q77" s="667">
        <f>O77/((N77-N77)*3+O77)-1</f>
        <v>0</v>
      </c>
      <c r="R77" s="669">
        <f>N77/N77*D77/D77-1</f>
        <v>0</v>
      </c>
      <c r="S77" s="670"/>
      <c r="T77" s="543">
        <f>G17</f>
        <v>31883342960.564812</v>
      </c>
      <c r="U77" s="234"/>
      <c r="V77" s="541">
        <f>T77/D77</f>
        <v>2199306.267542582</v>
      </c>
      <c r="W77" s="541"/>
      <c r="X77" s="542"/>
      <c r="Y77" s="501"/>
      <c r="Z77" s="502"/>
      <c r="AA77" s="502"/>
      <c r="AB77" s="502"/>
      <c r="AC77" s="503"/>
    </row>
    <row r="78" spans="1:55" ht="27" thickBot="1">
      <c r="A78" s="206">
        <v>3</v>
      </c>
      <c r="B78" s="495" t="str">
        <f>[1]Sheet2!B7</f>
        <v>ارديبهشت 1404</v>
      </c>
      <c r="C78" s="495"/>
      <c r="D78" s="512">
        <v>17213</v>
      </c>
      <c r="E78" s="512"/>
      <c r="F78" s="513"/>
      <c r="G78" s="202">
        <f>[1]Sheet2!F7</f>
        <v>23</v>
      </c>
      <c r="H78" s="528">
        <f>[1]Sheet2!H7</f>
        <v>2</v>
      </c>
      <c r="I78" s="528"/>
      <c r="J78" s="528">
        <f>[1]Sheet2!J7</f>
        <v>6</v>
      </c>
      <c r="K78" s="528"/>
      <c r="L78" s="559">
        <f t="shared" si="0"/>
        <v>25</v>
      </c>
      <c r="M78" s="559"/>
      <c r="N78" s="205">
        <v>31</v>
      </c>
      <c r="O78" s="208">
        <v>42</v>
      </c>
      <c r="P78" s="211" t="s">
        <v>374</v>
      </c>
      <c r="Q78" s="668">
        <f>O77/((N77-N78)*3+O78)-1</f>
        <v>0.64285714285714279</v>
      </c>
      <c r="R78" s="671">
        <f>N78/N77*D77/D78-1</f>
        <v>-0.15778771858479057</v>
      </c>
      <c r="S78" s="672"/>
      <c r="T78" s="543">
        <v>26589225525</v>
      </c>
      <c r="U78" s="234"/>
      <c r="V78" s="541">
        <f>T78/D78</f>
        <v>1544717.6857607623</v>
      </c>
      <c r="W78" s="541"/>
      <c r="X78" s="542"/>
      <c r="Y78" s="501"/>
      <c r="Z78" s="502"/>
      <c r="AA78" s="502"/>
      <c r="AB78" s="502"/>
      <c r="AC78" s="503"/>
    </row>
    <row r="79" spans="1:55" ht="22.5" customHeight="1" thickBot="1">
      <c r="A79" s="224" t="s">
        <v>361</v>
      </c>
      <c r="B79" s="225"/>
      <c r="C79" s="225"/>
      <c r="D79" s="525" t="s">
        <v>360</v>
      </c>
      <c r="E79" s="525"/>
      <c r="F79" s="525"/>
      <c r="G79" s="525"/>
      <c r="H79" s="525"/>
      <c r="I79" s="525"/>
      <c r="J79" s="525"/>
      <c r="K79" s="525"/>
      <c r="L79" s="525"/>
      <c r="M79" s="525"/>
      <c r="N79" s="525"/>
      <c r="O79" s="525"/>
      <c r="P79" s="525"/>
      <c r="Q79" s="525"/>
      <c r="R79" s="525"/>
      <c r="S79" s="525"/>
      <c r="T79" s="525"/>
      <c r="U79" s="525"/>
      <c r="V79" s="525"/>
      <c r="W79" s="525"/>
      <c r="X79" s="526"/>
      <c r="Y79" s="534"/>
      <c r="Z79" s="535"/>
      <c r="AA79" s="535"/>
      <c r="AB79" s="535"/>
      <c r="AC79" s="536"/>
    </row>
    <row r="80" spans="1:55" ht="30" customHeight="1" thickTop="1">
      <c r="A80" s="504" t="s">
        <v>359</v>
      </c>
      <c r="B80" s="505"/>
      <c r="C80" s="505"/>
      <c r="D80" s="505"/>
      <c r="E80" s="505"/>
      <c r="F80" s="505"/>
      <c r="G80" s="505"/>
      <c r="H80" s="505"/>
      <c r="I80" s="505"/>
      <c r="J80" s="505"/>
      <c r="K80" s="505"/>
      <c r="L80" s="505"/>
      <c r="M80" s="505"/>
      <c r="N80" s="505"/>
      <c r="O80" s="505"/>
      <c r="P80" s="505"/>
      <c r="Q80" s="505"/>
      <c r="R80" s="505"/>
      <c r="S80" s="505"/>
      <c r="T80" s="505"/>
      <c r="U80" s="505"/>
      <c r="V80" s="505"/>
      <c r="W80" s="505"/>
      <c r="X80" s="505"/>
      <c r="Y80" s="505"/>
      <c r="Z80" s="505"/>
      <c r="AA80" s="505"/>
      <c r="AB80" s="505"/>
      <c r="AC80" s="506"/>
    </row>
    <row r="81" spans="1:29" ht="30" customHeight="1" thickBot="1">
      <c r="A81" s="531" t="s">
        <v>382</v>
      </c>
      <c r="B81" s="532"/>
      <c r="C81" s="532"/>
      <c r="D81" s="532"/>
      <c r="E81" s="532"/>
      <c r="F81" s="532"/>
      <c r="G81" s="532"/>
      <c r="H81" s="532"/>
      <c r="I81" s="532"/>
      <c r="J81" s="532"/>
      <c r="K81" s="532"/>
      <c r="L81" s="532"/>
      <c r="M81" s="532"/>
      <c r="N81" s="532"/>
      <c r="O81" s="532"/>
      <c r="P81" s="532"/>
      <c r="Q81" s="532"/>
      <c r="R81" s="532"/>
      <c r="S81" s="532"/>
      <c r="T81" s="532"/>
      <c r="U81" s="533"/>
      <c r="V81" s="164"/>
      <c r="W81" s="222" t="s">
        <v>376</v>
      </c>
      <c r="X81" s="222"/>
      <c r="Y81" s="222"/>
      <c r="Z81" s="222"/>
      <c r="AA81" s="222"/>
      <c r="AB81" s="222"/>
      <c r="AC81" s="223"/>
    </row>
    <row r="82" spans="1:29" ht="39" customHeight="1">
      <c r="A82" s="141" t="s">
        <v>0</v>
      </c>
      <c r="B82" s="514" t="s">
        <v>260</v>
      </c>
      <c r="C82" s="514"/>
      <c r="D82" s="159" t="s">
        <v>259</v>
      </c>
      <c r="E82" s="514" t="s">
        <v>131</v>
      </c>
      <c r="F82" s="514"/>
      <c r="G82" s="514" t="s">
        <v>315</v>
      </c>
      <c r="H82" s="514"/>
      <c r="I82" s="514"/>
      <c r="J82" s="514" t="s">
        <v>343</v>
      </c>
      <c r="K82" s="514"/>
      <c r="L82" s="514"/>
      <c r="M82" s="514" t="s">
        <v>344</v>
      </c>
      <c r="N82" s="514"/>
      <c r="O82" s="507" t="s">
        <v>348</v>
      </c>
      <c r="P82" s="507"/>
      <c r="Q82" s="507" t="s">
        <v>346</v>
      </c>
      <c r="R82" s="507"/>
      <c r="S82" s="160" t="s">
        <v>349</v>
      </c>
      <c r="T82" s="165" t="s">
        <v>350</v>
      </c>
      <c r="U82" s="161" t="s">
        <v>351</v>
      </c>
      <c r="V82" s="163"/>
      <c r="W82" s="497" t="s">
        <v>254</v>
      </c>
      <c r="X82" s="498"/>
      <c r="Y82" s="498"/>
      <c r="Z82" s="498"/>
      <c r="AA82" s="498"/>
      <c r="AB82" s="498"/>
      <c r="AC82" s="499"/>
    </row>
    <row r="83" spans="1:29" ht="21">
      <c r="A83" s="142">
        <v>1</v>
      </c>
      <c r="B83" s="500" t="s">
        <v>257</v>
      </c>
      <c r="C83" s="500"/>
      <c r="D83" s="157">
        <v>79210363</v>
      </c>
      <c r="E83" s="515" t="s">
        <v>328</v>
      </c>
      <c r="F83" s="515"/>
      <c r="G83" s="520" t="s">
        <v>279</v>
      </c>
      <c r="H83" s="520"/>
      <c r="I83" s="520"/>
      <c r="J83" s="515">
        <v>9127158951</v>
      </c>
      <c r="K83" s="515"/>
      <c r="L83" s="515"/>
      <c r="M83" s="234">
        <v>22140</v>
      </c>
      <c r="N83" s="234"/>
      <c r="O83" s="234">
        <f>D83</f>
        <v>79210363</v>
      </c>
      <c r="P83" s="234"/>
      <c r="Q83" s="236" t="s">
        <v>347</v>
      </c>
      <c r="R83" s="237"/>
      <c r="S83" s="133">
        <v>10</v>
      </c>
      <c r="T83" s="158">
        <v>0</v>
      </c>
      <c r="U83" s="158" t="s">
        <v>352</v>
      </c>
      <c r="V83" s="173"/>
      <c r="W83" s="170" t="s">
        <v>354</v>
      </c>
      <c r="X83" s="145" t="s">
        <v>253</v>
      </c>
      <c r="Y83" s="145" t="s">
        <v>252</v>
      </c>
      <c r="Z83" s="145" t="s">
        <v>355</v>
      </c>
      <c r="AA83" s="145" t="s">
        <v>251</v>
      </c>
      <c r="AB83" s="145" t="s">
        <v>356</v>
      </c>
      <c r="AC83" s="171" t="s">
        <v>357</v>
      </c>
    </row>
    <row r="84" spans="1:29" ht="21">
      <c r="A84" s="142">
        <v>2</v>
      </c>
      <c r="B84" s="500" t="s">
        <v>341</v>
      </c>
      <c r="C84" s="500"/>
      <c r="D84" s="157">
        <v>97403477</v>
      </c>
      <c r="E84" s="515" t="s">
        <v>336</v>
      </c>
      <c r="F84" s="515"/>
      <c r="G84" s="520" t="s">
        <v>345</v>
      </c>
      <c r="H84" s="520"/>
      <c r="I84" s="520"/>
      <c r="J84" s="515">
        <v>9127158952</v>
      </c>
      <c r="K84" s="515"/>
      <c r="L84" s="515"/>
      <c r="M84" s="234">
        <v>27838</v>
      </c>
      <c r="N84" s="234"/>
      <c r="O84" s="234">
        <f t="shared" ref="O84:O97" si="1">D84</f>
        <v>97403477</v>
      </c>
      <c r="P84" s="234"/>
      <c r="Q84" s="237"/>
      <c r="R84" s="237"/>
      <c r="S84" s="133">
        <v>3</v>
      </c>
      <c r="T84" s="158">
        <v>5</v>
      </c>
      <c r="U84" s="158" t="s">
        <v>352</v>
      </c>
      <c r="V84" s="173"/>
      <c r="W84" s="178" t="s">
        <v>250</v>
      </c>
      <c r="X84" s="133">
        <v>689</v>
      </c>
      <c r="Y84" s="133">
        <v>71</v>
      </c>
      <c r="Z84" s="133">
        <v>15</v>
      </c>
      <c r="AA84" s="133">
        <v>89</v>
      </c>
      <c r="AB84" s="133">
        <v>30</v>
      </c>
      <c r="AC84" s="174">
        <v>10</v>
      </c>
    </row>
    <row r="85" spans="1:29" ht="21" customHeight="1" thickBot="1">
      <c r="A85" s="142">
        <v>3</v>
      </c>
      <c r="B85" s="500" t="s">
        <v>256</v>
      </c>
      <c r="C85" s="500"/>
      <c r="D85" s="157">
        <v>94403614</v>
      </c>
      <c r="E85" s="515" t="s">
        <v>255</v>
      </c>
      <c r="F85" s="515"/>
      <c r="G85" s="520" t="s">
        <v>316</v>
      </c>
      <c r="H85" s="520"/>
      <c r="I85" s="520"/>
      <c r="J85" s="515">
        <v>9123795811</v>
      </c>
      <c r="K85" s="515"/>
      <c r="L85" s="515"/>
      <c r="M85" s="234">
        <v>22140</v>
      </c>
      <c r="N85" s="234"/>
      <c r="O85" s="234">
        <f t="shared" si="1"/>
        <v>94403614</v>
      </c>
      <c r="P85" s="234"/>
      <c r="Q85" s="237"/>
      <c r="R85" s="237"/>
      <c r="S85" s="133">
        <v>2</v>
      </c>
      <c r="T85" s="99"/>
      <c r="U85" s="179" t="s">
        <v>353</v>
      </c>
      <c r="V85" s="173"/>
      <c r="W85" s="172" t="s">
        <v>358</v>
      </c>
      <c r="X85" s="508">
        <f>X84+Y84+Z84+AA84+AB84+AC84</f>
        <v>904</v>
      </c>
      <c r="Y85" s="508"/>
      <c r="Z85" s="508"/>
      <c r="AA85" s="508"/>
      <c r="AB85" s="508"/>
      <c r="AC85" s="509"/>
    </row>
    <row r="86" spans="1:29" ht="34.5" thickBot="1">
      <c r="A86" s="142">
        <v>4</v>
      </c>
      <c r="B86" s="500" t="s">
        <v>317</v>
      </c>
      <c r="C86" s="500"/>
      <c r="D86" s="157">
        <v>94002688</v>
      </c>
      <c r="E86" s="515" t="s">
        <v>336</v>
      </c>
      <c r="F86" s="515"/>
      <c r="G86" s="520" t="s">
        <v>316</v>
      </c>
      <c r="H86" s="520"/>
      <c r="I86" s="520"/>
      <c r="J86" s="515">
        <v>9123795812</v>
      </c>
      <c r="K86" s="515"/>
      <c r="L86" s="515"/>
      <c r="M86" s="234">
        <v>22140</v>
      </c>
      <c r="N86" s="234"/>
      <c r="O86" s="234">
        <f t="shared" si="1"/>
        <v>94002688</v>
      </c>
      <c r="P86" s="234"/>
      <c r="Q86" s="237"/>
      <c r="R86" s="237"/>
      <c r="S86" s="133">
        <v>2</v>
      </c>
      <c r="T86" s="133"/>
      <c r="U86" s="133" t="s">
        <v>352</v>
      </c>
      <c r="V86" s="162"/>
      <c r="W86" s="222" t="s">
        <v>377</v>
      </c>
      <c r="X86" s="222"/>
      <c r="Y86" s="222"/>
      <c r="Z86" s="222"/>
      <c r="AA86" s="222"/>
      <c r="AB86" s="222"/>
      <c r="AC86" s="223"/>
    </row>
    <row r="87" spans="1:29" ht="21">
      <c r="A87" s="142">
        <v>5</v>
      </c>
      <c r="B87" s="500" t="s">
        <v>318</v>
      </c>
      <c r="C87" s="500"/>
      <c r="D87" s="157">
        <v>94002688</v>
      </c>
      <c r="E87" s="515" t="s">
        <v>336</v>
      </c>
      <c r="F87" s="515"/>
      <c r="G87" s="520" t="s">
        <v>339</v>
      </c>
      <c r="H87" s="520"/>
      <c r="I87" s="520"/>
      <c r="J87" s="515">
        <v>9123795813</v>
      </c>
      <c r="K87" s="515"/>
      <c r="L87" s="515"/>
      <c r="M87" s="234">
        <v>22140</v>
      </c>
      <c r="N87" s="234"/>
      <c r="O87" s="234">
        <f t="shared" si="1"/>
        <v>94002688</v>
      </c>
      <c r="P87" s="234"/>
      <c r="Q87" s="237"/>
      <c r="R87" s="237"/>
      <c r="S87" s="133">
        <v>2</v>
      </c>
      <c r="T87" s="133"/>
      <c r="U87" s="133" t="s">
        <v>352</v>
      </c>
      <c r="V87" s="162"/>
      <c r="W87" s="170"/>
      <c r="X87" s="143"/>
      <c r="Y87" s="143"/>
      <c r="Z87" s="143"/>
      <c r="AA87" s="143"/>
      <c r="AB87" s="143"/>
      <c r="AC87" s="144"/>
    </row>
    <row r="88" spans="1:29" ht="21">
      <c r="A88" s="142">
        <v>6</v>
      </c>
      <c r="B88" s="500" t="s">
        <v>319</v>
      </c>
      <c r="C88" s="500"/>
      <c r="D88" s="157">
        <v>94002688</v>
      </c>
      <c r="E88" s="515" t="s">
        <v>336</v>
      </c>
      <c r="F88" s="515"/>
      <c r="G88" s="520" t="s">
        <v>316</v>
      </c>
      <c r="H88" s="520"/>
      <c r="I88" s="520"/>
      <c r="J88" s="515">
        <v>9123795814</v>
      </c>
      <c r="K88" s="515"/>
      <c r="L88" s="515"/>
      <c r="M88" s="234">
        <v>22140</v>
      </c>
      <c r="N88" s="234"/>
      <c r="O88" s="234">
        <f t="shared" si="1"/>
        <v>94002688</v>
      </c>
      <c r="P88" s="234"/>
      <c r="Q88" s="237"/>
      <c r="R88" s="237"/>
      <c r="S88" s="133">
        <v>2</v>
      </c>
      <c r="T88" s="133"/>
      <c r="U88" s="133" t="s">
        <v>352</v>
      </c>
      <c r="V88" s="162"/>
      <c r="W88" s="143"/>
      <c r="X88" s="143"/>
      <c r="Y88" s="143"/>
      <c r="Z88" s="143"/>
      <c r="AA88" s="143"/>
      <c r="AB88" s="143"/>
      <c r="AC88" s="144"/>
    </row>
    <row r="89" spans="1:29" ht="21">
      <c r="A89" s="142">
        <v>7</v>
      </c>
      <c r="B89" s="500" t="s">
        <v>320</v>
      </c>
      <c r="C89" s="500"/>
      <c r="D89" s="157">
        <v>94002688</v>
      </c>
      <c r="E89" s="515" t="s">
        <v>336</v>
      </c>
      <c r="F89" s="515"/>
      <c r="G89" s="520" t="s">
        <v>340</v>
      </c>
      <c r="H89" s="520"/>
      <c r="I89" s="520"/>
      <c r="J89" s="515">
        <v>9123795815</v>
      </c>
      <c r="K89" s="515"/>
      <c r="L89" s="515"/>
      <c r="M89" s="234">
        <v>22140</v>
      </c>
      <c r="N89" s="234"/>
      <c r="O89" s="234">
        <f t="shared" si="1"/>
        <v>94002688</v>
      </c>
      <c r="P89" s="234"/>
      <c r="Q89" s="237"/>
      <c r="R89" s="237"/>
      <c r="S89" s="133">
        <v>2</v>
      </c>
      <c r="T89" s="133"/>
      <c r="U89" s="133" t="s">
        <v>352</v>
      </c>
      <c r="V89" s="162"/>
      <c r="W89" s="143"/>
      <c r="X89" s="143"/>
      <c r="Y89" s="143"/>
      <c r="Z89" s="143"/>
      <c r="AA89" s="143"/>
      <c r="AB89" s="143"/>
      <c r="AC89" s="144"/>
    </row>
    <row r="90" spans="1:29" ht="34.5" thickBot="1">
      <c r="A90" s="142">
        <v>8</v>
      </c>
      <c r="B90" s="500" t="s">
        <v>321</v>
      </c>
      <c r="C90" s="500"/>
      <c r="D90" s="157">
        <v>94002688</v>
      </c>
      <c r="E90" s="515" t="s">
        <v>336</v>
      </c>
      <c r="F90" s="515"/>
      <c r="G90" s="520" t="s">
        <v>338</v>
      </c>
      <c r="H90" s="520"/>
      <c r="I90" s="520"/>
      <c r="J90" s="515">
        <v>9123795816</v>
      </c>
      <c r="K90" s="515"/>
      <c r="L90" s="515"/>
      <c r="M90" s="234">
        <v>22140</v>
      </c>
      <c r="N90" s="234"/>
      <c r="O90" s="234">
        <f t="shared" si="1"/>
        <v>94002688</v>
      </c>
      <c r="P90" s="234"/>
      <c r="Q90" s="237"/>
      <c r="R90" s="237"/>
      <c r="S90" s="133">
        <v>2</v>
      </c>
      <c r="T90" s="133"/>
      <c r="U90" s="133" t="s">
        <v>352</v>
      </c>
      <c r="V90" s="162"/>
      <c r="W90" s="222" t="s">
        <v>378</v>
      </c>
      <c r="X90" s="222"/>
      <c r="Y90" s="222"/>
      <c r="Z90" s="222"/>
      <c r="AA90" s="222"/>
      <c r="AB90" s="222"/>
      <c r="AC90" s="223"/>
    </row>
    <row r="91" spans="1:29" ht="21">
      <c r="A91" s="142">
        <v>9</v>
      </c>
      <c r="B91" s="500" t="s">
        <v>319</v>
      </c>
      <c r="C91" s="500"/>
      <c r="D91" s="157">
        <v>94002688</v>
      </c>
      <c r="E91" s="515" t="s">
        <v>336</v>
      </c>
      <c r="F91" s="515"/>
      <c r="G91" s="520" t="s">
        <v>329</v>
      </c>
      <c r="H91" s="520"/>
      <c r="I91" s="520"/>
      <c r="J91" s="515">
        <v>9123795817</v>
      </c>
      <c r="K91" s="515"/>
      <c r="L91" s="515"/>
      <c r="M91" s="234">
        <v>22140</v>
      </c>
      <c r="N91" s="234"/>
      <c r="O91" s="234">
        <f t="shared" si="1"/>
        <v>94002688</v>
      </c>
      <c r="P91" s="234"/>
      <c r="Q91" s="237"/>
      <c r="R91" s="237"/>
      <c r="S91" s="133">
        <v>2</v>
      </c>
      <c r="T91" s="133"/>
      <c r="U91" s="133" t="s">
        <v>352</v>
      </c>
      <c r="V91" s="162"/>
      <c r="W91" s="143"/>
      <c r="X91" s="143"/>
      <c r="Y91" s="143"/>
      <c r="Z91" s="143"/>
      <c r="AA91" s="143"/>
      <c r="AB91" s="143"/>
      <c r="AC91" s="144"/>
    </row>
    <row r="92" spans="1:29" ht="21">
      <c r="A92" s="142">
        <v>10</v>
      </c>
      <c r="B92" s="500" t="s">
        <v>322</v>
      </c>
      <c r="C92" s="500"/>
      <c r="D92" s="157">
        <v>94002688</v>
      </c>
      <c r="E92" s="515" t="s">
        <v>336</v>
      </c>
      <c r="F92" s="515"/>
      <c r="G92" s="520" t="s">
        <v>325</v>
      </c>
      <c r="H92" s="520"/>
      <c r="I92" s="520"/>
      <c r="J92" s="515">
        <v>9123795818</v>
      </c>
      <c r="K92" s="515"/>
      <c r="L92" s="515"/>
      <c r="M92" s="234">
        <v>22140</v>
      </c>
      <c r="N92" s="234"/>
      <c r="O92" s="234">
        <f t="shared" si="1"/>
        <v>94002688</v>
      </c>
      <c r="P92" s="234"/>
      <c r="Q92" s="237"/>
      <c r="R92" s="237"/>
      <c r="S92" s="133">
        <v>2</v>
      </c>
      <c r="T92" s="133"/>
      <c r="U92" s="133" t="s">
        <v>352</v>
      </c>
      <c r="V92" s="162"/>
      <c r="W92" s="143"/>
      <c r="X92" s="143"/>
      <c r="Y92" s="143"/>
      <c r="Z92" s="143"/>
      <c r="AA92" s="143"/>
      <c r="AB92" s="143"/>
      <c r="AC92" s="144"/>
    </row>
    <row r="93" spans="1:29" ht="21.75" customHeight="1" thickBot="1">
      <c r="A93" s="142">
        <v>11</v>
      </c>
      <c r="B93" s="500" t="s">
        <v>323</v>
      </c>
      <c r="C93" s="500"/>
      <c r="D93" s="157">
        <v>94002688</v>
      </c>
      <c r="E93" s="515" t="s">
        <v>336</v>
      </c>
      <c r="F93" s="515"/>
      <c r="G93" s="520" t="s">
        <v>327</v>
      </c>
      <c r="H93" s="520"/>
      <c r="I93" s="520"/>
      <c r="J93" s="515">
        <v>9123795819</v>
      </c>
      <c r="K93" s="515"/>
      <c r="L93" s="515"/>
      <c r="M93" s="234">
        <v>22140</v>
      </c>
      <c r="N93" s="234"/>
      <c r="O93" s="234">
        <f t="shared" si="1"/>
        <v>94002688</v>
      </c>
      <c r="P93" s="234"/>
      <c r="Q93" s="237"/>
      <c r="R93" s="237"/>
      <c r="S93" s="133">
        <v>2</v>
      </c>
      <c r="T93" s="133"/>
      <c r="U93" s="133" t="s">
        <v>352</v>
      </c>
      <c r="V93" s="162"/>
      <c r="W93" s="222" t="s">
        <v>379</v>
      </c>
      <c r="X93" s="222"/>
      <c r="Y93" s="222"/>
      <c r="Z93" s="222"/>
      <c r="AA93" s="222"/>
      <c r="AB93" s="222"/>
      <c r="AC93" s="223"/>
    </row>
    <row r="94" spans="1:29" ht="21">
      <c r="A94" s="142">
        <v>12</v>
      </c>
      <c r="B94" s="500" t="s">
        <v>324</v>
      </c>
      <c r="C94" s="500"/>
      <c r="D94" s="157">
        <v>94002688</v>
      </c>
      <c r="E94" s="515" t="s">
        <v>336</v>
      </c>
      <c r="F94" s="515"/>
      <c r="G94" s="520" t="s">
        <v>326</v>
      </c>
      <c r="H94" s="520"/>
      <c r="I94" s="520"/>
      <c r="J94" s="515">
        <v>9123795820</v>
      </c>
      <c r="K94" s="515"/>
      <c r="L94" s="515"/>
      <c r="M94" s="234">
        <v>22140</v>
      </c>
      <c r="N94" s="234"/>
      <c r="O94" s="234">
        <f t="shared" si="1"/>
        <v>94002688</v>
      </c>
      <c r="P94" s="234"/>
      <c r="Q94" s="237"/>
      <c r="R94" s="237"/>
      <c r="S94" s="133">
        <v>2</v>
      </c>
      <c r="T94" s="133"/>
      <c r="U94" s="133" t="s">
        <v>352</v>
      </c>
      <c r="V94" s="162"/>
      <c r="W94" s="143"/>
      <c r="X94" s="143"/>
      <c r="Y94" s="143"/>
      <c r="Z94" s="143"/>
      <c r="AA94" s="143"/>
      <c r="AB94" s="143"/>
      <c r="AC94" s="144"/>
    </row>
    <row r="95" spans="1:29" ht="21">
      <c r="A95" s="142">
        <v>13</v>
      </c>
      <c r="B95" s="521" t="s">
        <v>331</v>
      </c>
      <c r="C95" s="521"/>
      <c r="D95" s="157">
        <v>94002688</v>
      </c>
      <c r="E95" s="515" t="s">
        <v>336</v>
      </c>
      <c r="F95" s="515"/>
      <c r="G95" s="520" t="s">
        <v>330</v>
      </c>
      <c r="H95" s="520"/>
      <c r="I95" s="520"/>
      <c r="J95" s="515">
        <v>9123795821</v>
      </c>
      <c r="K95" s="515"/>
      <c r="L95" s="515"/>
      <c r="M95" s="234">
        <v>22140</v>
      </c>
      <c r="N95" s="234"/>
      <c r="O95" s="234">
        <f t="shared" si="1"/>
        <v>94002688</v>
      </c>
      <c r="P95" s="234"/>
      <c r="Q95" s="237"/>
      <c r="R95" s="237"/>
      <c r="S95" s="133">
        <v>2</v>
      </c>
      <c r="T95" s="133"/>
      <c r="U95" s="133" t="s">
        <v>352</v>
      </c>
      <c r="V95" s="162"/>
      <c r="W95" s="143"/>
      <c r="X95" s="143"/>
      <c r="Y95" s="143"/>
      <c r="Z95" s="143"/>
      <c r="AA95" s="143"/>
      <c r="AB95" s="143"/>
      <c r="AC95" s="144"/>
    </row>
    <row r="96" spans="1:29" ht="21">
      <c r="A96" s="142">
        <v>14</v>
      </c>
      <c r="B96" s="521" t="s">
        <v>332</v>
      </c>
      <c r="C96" s="521"/>
      <c r="D96" s="157">
        <v>94002688</v>
      </c>
      <c r="E96" s="515" t="s">
        <v>336</v>
      </c>
      <c r="F96" s="515"/>
      <c r="G96" s="520" t="s">
        <v>335</v>
      </c>
      <c r="H96" s="520"/>
      <c r="I96" s="520"/>
      <c r="J96" s="515">
        <v>9123795822</v>
      </c>
      <c r="K96" s="515"/>
      <c r="L96" s="515"/>
      <c r="M96" s="234">
        <v>22140</v>
      </c>
      <c r="N96" s="234"/>
      <c r="O96" s="234">
        <f t="shared" si="1"/>
        <v>94002688</v>
      </c>
      <c r="P96" s="234"/>
      <c r="Q96" s="237"/>
      <c r="R96" s="237"/>
      <c r="S96" s="133">
        <v>2</v>
      </c>
      <c r="T96" s="133"/>
      <c r="U96" s="133" t="s">
        <v>352</v>
      </c>
      <c r="V96" s="162"/>
      <c r="W96" s="143"/>
      <c r="X96" s="143"/>
      <c r="Y96" s="143"/>
      <c r="Z96" s="143"/>
      <c r="AA96" s="143"/>
      <c r="AB96" s="143"/>
      <c r="AC96" s="144"/>
    </row>
    <row r="97" spans="1:29" ht="21.75" thickBot="1">
      <c r="A97" s="166">
        <v>15</v>
      </c>
      <c r="B97" s="522" t="s">
        <v>333</v>
      </c>
      <c r="C97" s="522"/>
      <c r="D97" s="167">
        <v>94002688</v>
      </c>
      <c r="E97" s="523" t="s">
        <v>336</v>
      </c>
      <c r="F97" s="523"/>
      <c r="G97" s="527" t="s">
        <v>334</v>
      </c>
      <c r="H97" s="527"/>
      <c r="I97" s="527"/>
      <c r="J97" s="523">
        <v>9123795823</v>
      </c>
      <c r="K97" s="523"/>
      <c r="L97" s="523"/>
      <c r="M97" s="235">
        <v>22140</v>
      </c>
      <c r="N97" s="235"/>
      <c r="O97" s="235">
        <f t="shared" si="1"/>
        <v>94002688</v>
      </c>
      <c r="P97" s="235"/>
      <c r="Q97" s="238"/>
      <c r="R97" s="238"/>
      <c r="S97" s="168">
        <v>2</v>
      </c>
      <c r="T97" s="168"/>
      <c r="U97" s="168" t="s">
        <v>352</v>
      </c>
      <c r="V97" s="175"/>
      <c r="W97" s="176"/>
      <c r="X97" s="176"/>
      <c r="Y97" s="176"/>
      <c r="Z97" s="176"/>
      <c r="AA97" s="176"/>
      <c r="AB97" s="176"/>
      <c r="AC97" s="177"/>
    </row>
    <row r="98" spans="1:29" ht="15.75" thickTop="1"/>
    <row r="99" spans="1:29" ht="27.75" customHeight="1"/>
  </sheetData>
  <mergeCells count="495">
    <mergeCell ref="Y79:AC79"/>
    <mergeCell ref="W86:AC86"/>
    <mergeCell ref="W90:AC90"/>
    <mergeCell ref="W93:AC93"/>
    <mergeCell ref="A1:AC1"/>
    <mergeCell ref="A49:AC49"/>
    <mergeCell ref="V78:X78"/>
    <mergeCell ref="T76:U76"/>
    <mergeCell ref="T77:U77"/>
    <mergeCell ref="T78:U78"/>
    <mergeCell ref="P74:S74"/>
    <mergeCell ref="R76:S76"/>
    <mergeCell ref="R77:S77"/>
    <mergeCell ref="R78:S78"/>
    <mergeCell ref="L75:M75"/>
    <mergeCell ref="L76:M76"/>
    <mergeCell ref="L77:M77"/>
    <mergeCell ref="T74:X74"/>
    <mergeCell ref="T75:U75"/>
    <mergeCell ref="V75:X75"/>
    <mergeCell ref="V76:X76"/>
    <mergeCell ref="V77:X77"/>
    <mergeCell ref="G74:O74"/>
    <mergeCell ref="L78:M78"/>
    <mergeCell ref="J78:K78"/>
    <mergeCell ref="H75:I75"/>
    <mergeCell ref="H76:I76"/>
    <mergeCell ref="H77:I77"/>
    <mergeCell ref="H78:I78"/>
    <mergeCell ref="J75:K75"/>
    <mergeCell ref="G92:I92"/>
    <mergeCell ref="G93:I93"/>
    <mergeCell ref="G94:I94"/>
    <mergeCell ref="A81:U81"/>
    <mergeCell ref="G97:I97"/>
    <mergeCell ref="G96:I96"/>
    <mergeCell ref="G95:I95"/>
    <mergeCell ref="J83:L83"/>
    <mergeCell ref="J84:L84"/>
    <mergeCell ref="J85:L85"/>
    <mergeCell ref="J86:L86"/>
    <mergeCell ref="J87:L87"/>
    <mergeCell ref="J88:L88"/>
    <mergeCell ref="J89:L89"/>
    <mergeCell ref="J90:L90"/>
    <mergeCell ref="J91:L91"/>
    <mergeCell ref="J92:L92"/>
    <mergeCell ref="J93:L93"/>
    <mergeCell ref="J94:L94"/>
    <mergeCell ref="J95:L95"/>
    <mergeCell ref="J96:L96"/>
    <mergeCell ref="J97:L97"/>
    <mergeCell ref="G86:I86"/>
    <mergeCell ref="G87:I87"/>
    <mergeCell ref="G88:I88"/>
    <mergeCell ref="G91:I91"/>
    <mergeCell ref="M97:N97"/>
    <mergeCell ref="M88:N88"/>
    <mergeCell ref="M89:N89"/>
    <mergeCell ref="M90:N90"/>
    <mergeCell ref="M91:N91"/>
    <mergeCell ref="M92:N92"/>
    <mergeCell ref="M93:N93"/>
    <mergeCell ref="M94:N94"/>
    <mergeCell ref="M95:N95"/>
    <mergeCell ref="M96:N96"/>
    <mergeCell ref="B95:C95"/>
    <mergeCell ref="B96:C96"/>
    <mergeCell ref="B97:C97"/>
    <mergeCell ref="E95:F95"/>
    <mergeCell ref="E96:F96"/>
    <mergeCell ref="E97:F97"/>
    <mergeCell ref="B76:C76"/>
    <mergeCell ref="B82:C82"/>
    <mergeCell ref="B84:C84"/>
    <mergeCell ref="E84:F84"/>
    <mergeCell ref="D79:X79"/>
    <mergeCell ref="B92:C92"/>
    <mergeCell ref="B93:C93"/>
    <mergeCell ref="B94:C94"/>
    <mergeCell ref="E89:F89"/>
    <mergeCell ref="E90:F90"/>
    <mergeCell ref="E91:F91"/>
    <mergeCell ref="E92:F92"/>
    <mergeCell ref="E93:F93"/>
    <mergeCell ref="E94:F94"/>
    <mergeCell ref="M82:N82"/>
    <mergeCell ref="M83:N83"/>
    <mergeCell ref="M84:N84"/>
    <mergeCell ref="M85:N85"/>
    <mergeCell ref="M86:N86"/>
    <mergeCell ref="M87:N87"/>
    <mergeCell ref="J82:L82"/>
    <mergeCell ref="G82:I82"/>
    <mergeCell ref="G83:I83"/>
    <mergeCell ref="G84:I84"/>
    <mergeCell ref="G85:I85"/>
    <mergeCell ref="G89:I89"/>
    <mergeCell ref="G90:I90"/>
    <mergeCell ref="B86:C86"/>
    <mergeCell ref="B87:C87"/>
    <mergeCell ref="B88:C88"/>
    <mergeCell ref="E86:F86"/>
    <mergeCell ref="E87:F87"/>
    <mergeCell ref="E88:F88"/>
    <mergeCell ref="B89:C89"/>
    <mergeCell ref="B90:C90"/>
    <mergeCell ref="B91:C91"/>
    <mergeCell ref="B78:C78"/>
    <mergeCell ref="B77:C77"/>
    <mergeCell ref="B75:C75"/>
    <mergeCell ref="W82:AC82"/>
    <mergeCell ref="B85:C85"/>
    <mergeCell ref="B83:C83"/>
    <mergeCell ref="Y76:AC76"/>
    <mergeCell ref="Y77:AC77"/>
    <mergeCell ref="Y78:AC78"/>
    <mergeCell ref="A80:AC80"/>
    <mergeCell ref="O82:P82"/>
    <mergeCell ref="Q82:R82"/>
    <mergeCell ref="O83:P83"/>
    <mergeCell ref="O84:P84"/>
    <mergeCell ref="O85:P85"/>
    <mergeCell ref="X85:AC85"/>
    <mergeCell ref="D77:F77"/>
    <mergeCell ref="D78:F78"/>
    <mergeCell ref="E82:F82"/>
    <mergeCell ref="E83:F83"/>
    <mergeCell ref="E85:F85"/>
    <mergeCell ref="R75:S75"/>
    <mergeCell ref="J76:K76"/>
    <mergeCell ref="J77:K77"/>
    <mergeCell ref="Y32:AC35"/>
    <mergeCell ref="A36:A39"/>
    <mergeCell ref="B36:C36"/>
    <mergeCell ref="D36:H39"/>
    <mergeCell ref="J36:K36"/>
    <mergeCell ref="M36:N36"/>
    <mergeCell ref="O36:P39"/>
    <mergeCell ref="Q36:R39"/>
    <mergeCell ref="S36:S39"/>
    <mergeCell ref="T36:T39"/>
    <mergeCell ref="U36:W39"/>
    <mergeCell ref="X36:X39"/>
    <mergeCell ref="B37:C37"/>
    <mergeCell ref="J37:K37"/>
    <mergeCell ref="M37:N37"/>
    <mergeCell ref="B38:C38"/>
    <mergeCell ref="J38:K38"/>
    <mergeCell ref="M38:N38"/>
    <mergeCell ref="B39:C39"/>
    <mergeCell ref="J39:K39"/>
    <mergeCell ref="M39:N39"/>
    <mergeCell ref="Y36:AC39"/>
    <mergeCell ref="U32:W35"/>
    <mergeCell ref="X32:X35"/>
    <mergeCell ref="A32:A35"/>
    <mergeCell ref="B32:C32"/>
    <mergeCell ref="D32:H35"/>
    <mergeCell ref="J32:K32"/>
    <mergeCell ref="M32:N32"/>
    <mergeCell ref="O32:P35"/>
    <mergeCell ref="Q32:R35"/>
    <mergeCell ref="S32:S35"/>
    <mergeCell ref="T32:T35"/>
    <mergeCell ref="B33:C33"/>
    <mergeCell ref="J33:K33"/>
    <mergeCell ref="M33:N33"/>
    <mergeCell ref="B34:C34"/>
    <mergeCell ref="J34:K34"/>
    <mergeCell ref="M34:N34"/>
    <mergeCell ref="B35:C35"/>
    <mergeCell ref="J35:K35"/>
    <mergeCell ref="M35:N35"/>
    <mergeCell ref="Y24:AC27"/>
    <mergeCell ref="A28:A31"/>
    <mergeCell ref="B28:C28"/>
    <mergeCell ref="D28:H31"/>
    <mergeCell ref="J28:K28"/>
    <mergeCell ref="M28:N28"/>
    <mergeCell ref="O28:P31"/>
    <mergeCell ref="Q28:R31"/>
    <mergeCell ref="S28:S31"/>
    <mergeCell ref="T28:T31"/>
    <mergeCell ref="U28:W31"/>
    <mergeCell ref="X28:X31"/>
    <mergeCell ref="B29:C29"/>
    <mergeCell ref="J29:K29"/>
    <mergeCell ref="M29:N29"/>
    <mergeCell ref="B30:C30"/>
    <mergeCell ref="J30:K30"/>
    <mergeCell ref="M30:N30"/>
    <mergeCell ref="J31:K31"/>
    <mergeCell ref="M31:N31"/>
    <mergeCell ref="B31:C31"/>
    <mergeCell ref="Y28:AC31"/>
    <mergeCell ref="X24:X27"/>
    <mergeCell ref="B25:C25"/>
    <mergeCell ref="A41:A42"/>
    <mergeCell ref="T20:T23"/>
    <mergeCell ref="U20:W23"/>
    <mergeCell ref="A24:A27"/>
    <mergeCell ref="U19:W19"/>
    <mergeCell ref="A20:A23"/>
    <mergeCell ref="S20:S23"/>
    <mergeCell ref="O19:P19"/>
    <mergeCell ref="P16:T16"/>
    <mergeCell ref="Q19:R19"/>
    <mergeCell ref="H42:R42"/>
    <mergeCell ref="S42:T42"/>
    <mergeCell ref="D42:E42"/>
    <mergeCell ref="J25:K25"/>
    <mergeCell ref="M25:N25"/>
    <mergeCell ref="B26:C26"/>
    <mergeCell ref="J26:K26"/>
    <mergeCell ref="M26:N26"/>
    <mergeCell ref="B27:C27"/>
    <mergeCell ref="J27:K27"/>
    <mergeCell ref="M27:N27"/>
    <mergeCell ref="B24:C24"/>
    <mergeCell ref="D24:H27"/>
    <mergeCell ref="J24:K24"/>
    <mergeCell ref="B20:C20"/>
    <mergeCell ref="D20:H23"/>
    <mergeCell ref="J20:K20"/>
    <mergeCell ref="M20:N20"/>
    <mergeCell ref="O20:P23"/>
    <mergeCell ref="Q20:R23"/>
    <mergeCell ref="O24:P27"/>
    <mergeCell ref="Q24:R27"/>
    <mergeCell ref="S24:S27"/>
    <mergeCell ref="M24:N24"/>
    <mergeCell ref="B21:C21"/>
    <mergeCell ref="J21:K21"/>
    <mergeCell ref="S43:T43"/>
    <mergeCell ref="S44:T44"/>
    <mergeCell ref="S45:T45"/>
    <mergeCell ref="S46:T46"/>
    <mergeCell ref="S47:T47"/>
    <mergeCell ref="S48:T48"/>
    <mergeCell ref="B45:C45"/>
    <mergeCell ref="B46:C46"/>
    <mergeCell ref="B47:C47"/>
    <mergeCell ref="B48:C48"/>
    <mergeCell ref="D44:E44"/>
    <mergeCell ref="D45:E45"/>
    <mergeCell ref="D46:E46"/>
    <mergeCell ref="D47:E47"/>
    <mergeCell ref="D48:E48"/>
    <mergeCell ref="T24:T27"/>
    <mergeCell ref="B43:C43"/>
    <mergeCell ref="B44:C44"/>
    <mergeCell ref="H43:R43"/>
    <mergeCell ref="H44:R44"/>
    <mergeCell ref="B16:C16"/>
    <mergeCell ref="D16:E16"/>
    <mergeCell ref="H16:I16"/>
    <mergeCell ref="J16:K16"/>
    <mergeCell ref="L16:M16"/>
    <mergeCell ref="L11:M11"/>
    <mergeCell ref="D7:E8"/>
    <mergeCell ref="F7:F8"/>
    <mergeCell ref="G7:G8"/>
    <mergeCell ref="H7:I8"/>
    <mergeCell ref="B13:C13"/>
    <mergeCell ref="D13:E13"/>
    <mergeCell ref="H13:I13"/>
    <mergeCell ref="J13:K13"/>
    <mergeCell ref="L13:M13"/>
    <mergeCell ref="P13:T13"/>
    <mergeCell ref="U13:V13"/>
    <mergeCell ref="U14:V14"/>
    <mergeCell ref="B15:C15"/>
    <mergeCell ref="D15:E15"/>
    <mergeCell ref="H15:I15"/>
    <mergeCell ref="J15:K15"/>
    <mergeCell ref="L15:M15"/>
    <mergeCell ref="P15:T15"/>
    <mergeCell ref="U15:V15"/>
    <mergeCell ref="B14:C14"/>
    <mergeCell ref="D14:E14"/>
    <mergeCell ref="H14:I14"/>
    <mergeCell ref="J14:K14"/>
    <mergeCell ref="L14:M14"/>
    <mergeCell ref="P14:T14"/>
    <mergeCell ref="B12:C12"/>
    <mergeCell ref="D12:E12"/>
    <mergeCell ref="H12:I12"/>
    <mergeCell ref="J12:K12"/>
    <mergeCell ref="P10:T10"/>
    <mergeCell ref="U10:V10"/>
    <mergeCell ref="B11:C11"/>
    <mergeCell ref="D11:E11"/>
    <mergeCell ref="H11:I11"/>
    <mergeCell ref="J11:K11"/>
    <mergeCell ref="P11:T11"/>
    <mergeCell ref="U11:V11"/>
    <mergeCell ref="L12:M12"/>
    <mergeCell ref="P12:T12"/>
    <mergeCell ref="U12:V12"/>
    <mergeCell ref="U7:V8"/>
    <mergeCell ref="A2:H2"/>
    <mergeCell ref="I2:S2"/>
    <mergeCell ref="T2:U2"/>
    <mergeCell ref="A3:B3"/>
    <mergeCell ref="C3:D3"/>
    <mergeCell ref="N3:O3"/>
    <mergeCell ref="U6:V6"/>
    <mergeCell ref="V2:AC2"/>
    <mergeCell ref="T3:AC3"/>
    <mergeCell ref="A4:AC4"/>
    <mergeCell ref="U5:AC5"/>
    <mergeCell ref="W6:AC6"/>
    <mergeCell ref="Y7:AC8"/>
    <mergeCell ref="W7:X7"/>
    <mergeCell ref="G3:L3"/>
    <mergeCell ref="B42:C42"/>
    <mergeCell ref="B41:R41"/>
    <mergeCell ref="A5:A8"/>
    <mergeCell ref="B5:C8"/>
    <mergeCell ref="D5:K5"/>
    <mergeCell ref="L5:T5"/>
    <mergeCell ref="D6:G6"/>
    <mergeCell ref="H6:K6"/>
    <mergeCell ref="L6:M6"/>
    <mergeCell ref="N6:T6"/>
    <mergeCell ref="J7:K8"/>
    <mergeCell ref="L7:M8"/>
    <mergeCell ref="N7:O7"/>
    <mergeCell ref="P7:T8"/>
    <mergeCell ref="B9:C9"/>
    <mergeCell ref="D9:E9"/>
    <mergeCell ref="H9:I9"/>
    <mergeCell ref="J9:K9"/>
    <mergeCell ref="L9:M9"/>
    <mergeCell ref="P9:T9"/>
    <mergeCell ref="A10:A14"/>
    <mergeCell ref="B10:C10"/>
    <mergeCell ref="D10:E10"/>
    <mergeCell ref="H10:I10"/>
    <mergeCell ref="D43:E43"/>
    <mergeCell ref="E51:F51"/>
    <mergeCell ref="E52:F52"/>
    <mergeCell ref="E53:F53"/>
    <mergeCell ref="E54:F54"/>
    <mergeCell ref="E55:F55"/>
    <mergeCell ref="E56:F56"/>
    <mergeCell ref="N9:N16"/>
    <mergeCell ref="O9:O16"/>
    <mergeCell ref="J10:K10"/>
    <mergeCell ref="L10:M10"/>
    <mergeCell ref="A17:F17"/>
    <mergeCell ref="G17:I17"/>
    <mergeCell ref="B23:C23"/>
    <mergeCell ref="J23:K23"/>
    <mergeCell ref="M23:N23"/>
    <mergeCell ref="M21:N21"/>
    <mergeCell ref="B22:C22"/>
    <mergeCell ref="J22:K22"/>
    <mergeCell ref="M22:N22"/>
    <mergeCell ref="B19:C19"/>
    <mergeCell ref="D19:H19"/>
    <mergeCell ref="J19:K19"/>
    <mergeCell ref="M19:N19"/>
    <mergeCell ref="W9:W16"/>
    <mergeCell ref="X9:X16"/>
    <mergeCell ref="S41:X41"/>
    <mergeCell ref="V42:W42"/>
    <mergeCell ref="V43:W43"/>
    <mergeCell ref="V44:W44"/>
    <mergeCell ref="V45:W45"/>
    <mergeCell ref="V46:W46"/>
    <mergeCell ref="V47:W47"/>
    <mergeCell ref="U9:V9"/>
    <mergeCell ref="X20:X23"/>
    <mergeCell ref="U24:W27"/>
    <mergeCell ref="U16:V16"/>
    <mergeCell ref="A65:A66"/>
    <mergeCell ref="B66:C66"/>
    <mergeCell ref="D66:E66"/>
    <mergeCell ref="V66:W66"/>
    <mergeCell ref="R66:S66"/>
    <mergeCell ref="R65:X65"/>
    <mergeCell ref="B65:Q65"/>
    <mergeCell ref="H66:Q66"/>
    <mergeCell ref="E57:F57"/>
    <mergeCell ref="A58:G63"/>
    <mergeCell ref="A51:A57"/>
    <mergeCell ref="H51:H52"/>
    <mergeCell ref="R67:S67"/>
    <mergeCell ref="R68:S68"/>
    <mergeCell ref="H67:Q67"/>
    <mergeCell ref="H68:Q68"/>
    <mergeCell ref="V48:W48"/>
    <mergeCell ref="H45:R45"/>
    <mergeCell ref="H46:R46"/>
    <mergeCell ref="H47:R47"/>
    <mergeCell ref="H48:R48"/>
    <mergeCell ref="A50:H50"/>
    <mergeCell ref="Y9:AC9"/>
    <mergeCell ref="Y65:AC65"/>
    <mergeCell ref="Y66:AC66"/>
    <mergeCell ref="A64:AC64"/>
    <mergeCell ref="A40:AC40"/>
    <mergeCell ref="Y41:AC41"/>
    <mergeCell ref="Y42:AC42"/>
    <mergeCell ref="Y43:AC43"/>
    <mergeCell ref="Y44:AC44"/>
    <mergeCell ref="Y45:AC45"/>
    <mergeCell ref="Y46:AC46"/>
    <mergeCell ref="Y47:AC47"/>
    <mergeCell ref="I59:AC59"/>
    <mergeCell ref="I60:AC60"/>
    <mergeCell ref="I61:AC61"/>
    <mergeCell ref="I62:AC62"/>
    <mergeCell ref="I63:AC63"/>
    <mergeCell ref="Y19:AC19"/>
    <mergeCell ref="Y20:AC23"/>
    <mergeCell ref="A18:AC18"/>
    <mergeCell ref="Y10:AC10"/>
    <mergeCell ref="Y11:AC11"/>
    <mergeCell ref="Y12:AC12"/>
    <mergeCell ref="Y13:AC13"/>
    <mergeCell ref="O92:P92"/>
    <mergeCell ref="O93:P93"/>
    <mergeCell ref="O94:P94"/>
    <mergeCell ref="Y67:AC67"/>
    <mergeCell ref="Y68:AC68"/>
    <mergeCell ref="Y69:AC69"/>
    <mergeCell ref="Y70:AC70"/>
    <mergeCell ref="Y72:AC72"/>
    <mergeCell ref="Y71:AC71"/>
    <mergeCell ref="A73:AC73"/>
    <mergeCell ref="Y74:AC74"/>
    <mergeCell ref="Y75:AC75"/>
    <mergeCell ref="A74:F74"/>
    <mergeCell ref="B71:C71"/>
    <mergeCell ref="D71:E71"/>
    <mergeCell ref="H71:Q71"/>
    <mergeCell ref="R71:S71"/>
    <mergeCell ref="V71:W71"/>
    <mergeCell ref="B72:C72"/>
    <mergeCell ref="D72:E72"/>
    <mergeCell ref="V72:W72"/>
    <mergeCell ref="R72:S72"/>
    <mergeCell ref="H72:Q72"/>
    <mergeCell ref="B69:C69"/>
    <mergeCell ref="O95:P95"/>
    <mergeCell ref="O96:P96"/>
    <mergeCell ref="O97:P97"/>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O86:P86"/>
    <mergeCell ref="O87:P87"/>
    <mergeCell ref="O88:P88"/>
    <mergeCell ref="O89:P89"/>
    <mergeCell ref="O90:P90"/>
    <mergeCell ref="O91:P91"/>
    <mergeCell ref="Y14:AC14"/>
    <mergeCell ref="Y15:AC15"/>
    <mergeCell ref="Y16:AC16"/>
    <mergeCell ref="K17:AC17"/>
    <mergeCell ref="Y48:AC48"/>
    <mergeCell ref="W81:AC81"/>
    <mergeCell ref="A79:C79"/>
    <mergeCell ref="D75:F75"/>
    <mergeCell ref="D76:F76"/>
    <mergeCell ref="D69:E69"/>
    <mergeCell ref="V69:W69"/>
    <mergeCell ref="B70:C70"/>
    <mergeCell ref="D70:E70"/>
    <mergeCell ref="V70:W70"/>
    <mergeCell ref="R69:S69"/>
    <mergeCell ref="R70:S70"/>
    <mergeCell ref="H69:Q69"/>
    <mergeCell ref="H70:Q70"/>
    <mergeCell ref="B67:C67"/>
    <mergeCell ref="D67:E67"/>
    <mergeCell ref="V67:W67"/>
    <mergeCell ref="B68:C68"/>
    <mergeCell ref="D68:E68"/>
    <mergeCell ref="V68:W68"/>
  </mergeCells>
  <phoneticPr fontId="61" type="noConversion"/>
  <conditionalFormatting sqref="H53:H57">
    <cfRule type="cellIs" dxfId="1" priority="1" operator="equal">
      <formula>"دارد"</formula>
    </cfRule>
    <cfRule type="cellIs" dxfId="0" priority="2" operator="equal">
      <formula>"دارد"</formula>
    </cfRule>
  </conditionalFormatting>
  <hyperlinks>
    <hyperlink ref="Q83" r:id="rId1" xr:uid="{BD11DA16-A13A-4570-9885-BE210DD29706}"/>
  </hyperlinks>
  <pageMargins left="0.7" right="0.7" top="0.75" bottom="0.75" header="0.3" footer="0.3"/>
  <pageSetup paperSize="9" scale="50" orientation="landscape" r:id="rId2"/>
  <rowBreaks count="2" manualBreakCount="2">
    <brk id="39" max="28" man="1"/>
    <brk id="72" max="28" man="1"/>
  </rowBreaks>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S18"/>
  <sheetViews>
    <sheetView rightToLeft="1" view="pageBreakPreview" zoomScale="60" zoomScaleNormal="90" workbookViewId="0">
      <selection activeCell="I18" sqref="I18"/>
    </sheetView>
  </sheetViews>
  <sheetFormatPr defaultRowHeight="21"/>
  <cols>
    <col min="1" max="1" width="4.42578125" style="1" bestFit="1" customWidth="1"/>
    <col min="2" max="2" width="15" style="1" bestFit="1" customWidth="1"/>
    <col min="3" max="3" width="12.28515625" style="1" customWidth="1"/>
    <col min="4" max="4" width="11.28515625" style="58" customWidth="1"/>
    <col min="5" max="5" width="16.7109375" style="58" bestFit="1" customWidth="1"/>
    <col min="6" max="6" width="25.28515625" style="1" customWidth="1"/>
    <col min="7" max="7" width="8" style="1" bestFit="1" customWidth="1"/>
    <col min="8" max="8" width="8.85546875" style="59" customWidth="1"/>
    <col min="9" max="9" width="20.140625" style="59" customWidth="1"/>
    <col min="10" max="10" width="68.140625" style="59" customWidth="1"/>
    <col min="11" max="11" width="45.42578125" style="1" customWidth="1"/>
    <col min="12" max="12" width="5.85546875" style="1" bestFit="1" customWidth="1"/>
    <col min="13" max="13" width="16.28515625" style="1" bestFit="1" customWidth="1"/>
    <col min="14" max="14" width="78.28515625" style="1" customWidth="1"/>
    <col min="15" max="17" width="6.5703125" style="1" customWidth="1"/>
    <col min="18" max="18" width="16.7109375" style="1" bestFit="1" customWidth="1"/>
    <col min="19" max="19" width="100.42578125" style="1" customWidth="1"/>
    <col min="20" max="16384" width="9.140625" style="1"/>
  </cols>
  <sheetData>
    <row r="1" spans="1:19" ht="26.25">
      <c r="A1" s="561" t="s">
        <v>26</v>
      </c>
      <c r="B1" s="562"/>
      <c r="C1" s="562"/>
      <c r="D1" s="562"/>
      <c r="E1" s="562"/>
      <c r="F1" s="562"/>
      <c r="G1" s="562"/>
      <c r="H1" s="562"/>
      <c r="I1" s="562"/>
      <c r="J1" s="562"/>
      <c r="K1" s="562"/>
      <c r="L1" s="562"/>
      <c r="M1" s="562"/>
      <c r="N1" s="562"/>
      <c r="O1" s="562"/>
      <c r="P1" s="562"/>
      <c r="Q1" s="562"/>
      <c r="R1" s="562"/>
      <c r="S1" s="563"/>
    </row>
    <row r="2" spans="1:19" ht="28.5">
      <c r="A2" s="564" t="s">
        <v>0</v>
      </c>
      <c r="B2" s="571" t="s">
        <v>194</v>
      </c>
      <c r="C2" s="572"/>
      <c r="D2" s="572"/>
      <c r="E2" s="572"/>
      <c r="F2" s="572"/>
      <c r="G2" s="572"/>
      <c r="H2" s="572"/>
      <c r="I2" s="572"/>
      <c r="J2" s="573"/>
      <c r="K2" s="568" t="s">
        <v>4</v>
      </c>
      <c r="L2" s="569"/>
      <c r="M2" s="569"/>
      <c r="N2" s="570"/>
      <c r="O2" s="560" t="s">
        <v>6</v>
      </c>
      <c r="P2" s="560" t="s">
        <v>3</v>
      </c>
      <c r="Q2" s="560" t="s">
        <v>188</v>
      </c>
      <c r="R2" s="567" t="s">
        <v>189</v>
      </c>
      <c r="S2" s="566" t="s">
        <v>2</v>
      </c>
    </row>
    <row r="3" spans="1:19" ht="67.5">
      <c r="A3" s="565"/>
      <c r="B3" s="37" t="s">
        <v>34</v>
      </c>
      <c r="C3" s="37" t="s">
        <v>35</v>
      </c>
      <c r="D3" s="38" t="s">
        <v>1</v>
      </c>
      <c r="E3" s="42" t="s">
        <v>193</v>
      </c>
      <c r="F3" s="39" t="s">
        <v>29</v>
      </c>
      <c r="G3" s="39" t="s">
        <v>200</v>
      </c>
      <c r="H3" s="40" t="s">
        <v>156</v>
      </c>
      <c r="I3" s="40" t="s">
        <v>165</v>
      </c>
      <c r="J3" s="38" t="s">
        <v>25</v>
      </c>
      <c r="K3" s="38" t="s">
        <v>7</v>
      </c>
      <c r="L3" s="43" t="s">
        <v>195</v>
      </c>
      <c r="M3" s="41" t="s">
        <v>210</v>
      </c>
      <c r="N3" s="44" t="s">
        <v>5</v>
      </c>
      <c r="O3" s="560"/>
      <c r="P3" s="560"/>
      <c r="Q3" s="560"/>
      <c r="R3" s="566"/>
      <c r="S3" s="566"/>
    </row>
    <row r="4" spans="1:19" ht="27" customHeight="1">
      <c r="A4" s="45">
        <v>1</v>
      </c>
      <c r="B4" s="45" t="s">
        <v>56</v>
      </c>
      <c r="C4" s="45" t="s">
        <v>57</v>
      </c>
      <c r="D4" s="46" t="s">
        <v>8</v>
      </c>
      <c r="E4" s="47" t="s">
        <v>169</v>
      </c>
      <c r="F4" s="48" t="s">
        <v>27</v>
      </c>
      <c r="G4" s="61" t="s">
        <v>201</v>
      </c>
      <c r="H4" s="48" t="s">
        <v>10</v>
      </c>
      <c r="I4" s="49">
        <v>140411852356</v>
      </c>
      <c r="J4" s="50" t="s">
        <v>9</v>
      </c>
      <c r="K4" s="51" t="s">
        <v>175</v>
      </c>
      <c r="L4" s="40">
        <v>60</v>
      </c>
      <c r="M4" s="47" t="s">
        <v>183</v>
      </c>
      <c r="N4" s="51" t="s">
        <v>176</v>
      </c>
      <c r="O4" s="52"/>
      <c r="P4" s="52" t="s">
        <v>11</v>
      </c>
      <c r="Q4" s="52">
        <v>1</v>
      </c>
      <c r="R4" s="47" t="s">
        <v>191</v>
      </c>
      <c r="S4" s="53" t="s">
        <v>12</v>
      </c>
    </row>
    <row r="5" spans="1:19" ht="27" customHeight="1">
      <c r="A5" s="45">
        <v>2</v>
      </c>
      <c r="B5" s="45" t="s">
        <v>56</v>
      </c>
      <c r="C5" s="45" t="s">
        <v>57</v>
      </c>
      <c r="D5" s="46" t="s">
        <v>8</v>
      </c>
      <c r="E5" s="47" t="s">
        <v>171</v>
      </c>
      <c r="F5" s="48" t="s">
        <v>28</v>
      </c>
      <c r="G5" s="61" t="s">
        <v>202</v>
      </c>
      <c r="H5" s="48" t="s">
        <v>10</v>
      </c>
      <c r="I5" s="49">
        <v>140411842364</v>
      </c>
      <c r="J5" s="50" t="s">
        <v>13</v>
      </c>
      <c r="K5" s="51" t="s">
        <v>14</v>
      </c>
      <c r="L5" s="40">
        <v>7</v>
      </c>
      <c r="M5" s="47" t="s">
        <v>184</v>
      </c>
      <c r="O5" s="52" t="s">
        <v>11</v>
      </c>
      <c r="P5" s="52"/>
      <c r="Q5" s="52">
        <v>0</v>
      </c>
      <c r="R5" s="52"/>
      <c r="S5" s="53"/>
    </row>
    <row r="6" spans="1:19" ht="27" customHeight="1">
      <c r="A6" s="45">
        <v>3</v>
      </c>
      <c r="B6" s="45" t="s">
        <v>56</v>
      </c>
      <c r="C6" s="45" t="s">
        <v>57</v>
      </c>
      <c r="D6" s="46" t="s">
        <v>8</v>
      </c>
      <c r="E6" s="47" t="s">
        <v>170</v>
      </c>
      <c r="F6" s="48" t="s">
        <v>152</v>
      </c>
      <c r="G6" s="61" t="s">
        <v>203</v>
      </c>
      <c r="H6" s="48" t="s">
        <v>16</v>
      </c>
      <c r="I6" s="49">
        <v>140411869854</v>
      </c>
      <c r="J6" s="50" t="s">
        <v>15</v>
      </c>
      <c r="K6" s="51" t="s">
        <v>17</v>
      </c>
      <c r="L6" s="40">
        <v>7</v>
      </c>
      <c r="M6" s="47" t="s">
        <v>185</v>
      </c>
      <c r="N6" s="51" t="s">
        <v>179</v>
      </c>
      <c r="O6" s="52" t="s">
        <v>11</v>
      </c>
      <c r="P6" s="52"/>
      <c r="Q6" s="52">
        <v>0</v>
      </c>
      <c r="R6" s="52"/>
      <c r="S6" s="53"/>
    </row>
    <row r="7" spans="1:19" ht="27" customHeight="1">
      <c r="A7" s="45">
        <v>4</v>
      </c>
      <c r="B7" s="45" t="s">
        <v>56</v>
      </c>
      <c r="C7" s="45" t="s">
        <v>57</v>
      </c>
      <c r="D7" s="46" t="s">
        <v>18</v>
      </c>
      <c r="E7" s="47" t="s">
        <v>167</v>
      </c>
      <c r="F7" s="48" t="s">
        <v>153</v>
      </c>
      <c r="G7" s="61" t="s">
        <v>204</v>
      </c>
      <c r="H7" s="48" t="s">
        <v>10</v>
      </c>
      <c r="I7" s="48">
        <v>14026486026</v>
      </c>
      <c r="J7" s="59" t="s">
        <v>19</v>
      </c>
      <c r="K7" s="51" t="s">
        <v>177</v>
      </c>
      <c r="L7" s="40">
        <v>60</v>
      </c>
      <c r="M7" s="47" t="s">
        <v>186</v>
      </c>
      <c r="N7" s="51" t="s">
        <v>20</v>
      </c>
      <c r="O7" s="52"/>
      <c r="P7" s="52" t="s">
        <v>11</v>
      </c>
      <c r="Q7" s="52">
        <v>3</v>
      </c>
      <c r="R7" s="47" t="s">
        <v>190</v>
      </c>
      <c r="S7" s="53" t="s">
        <v>21</v>
      </c>
    </row>
    <row r="8" spans="1:19" ht="27" customHeight="1">
      <c r="A8" s="45">
        <v>5</v>
      </c>
      <c r="B8" s="45" t="s">
        <v>56</v>
      </c>
      <c r="C8" s="45" t="s">
        <v>57</v>
      </c>
      <c r="D8" s="46" t="s">
        <v>172</v>
      </c>
      <c r="E8" s="47" t="s">
        <v>208</v>
      </c>
      <c r="F8" s="48" t="s">
        <v>153</v>
      </c>
      <c r="G8" s="61" t="s">
        <v>204</v>
      </c>
      <c r="H8" s="48" t="s">
        <v>68</v>
      </c>
      <c r="I8" s="48">
        <v>14051748602</v>
      </c>
      <c r="J8" s="50" t="s">
        <v>22</v>
      </c>
      <c r="K8" s="51" t="s">
        <v>23</v>
      </c>
      <c r="L8" s="40" t="s">
        <v>60</v>
      </c>
      <c r="M8" s="47" t="s">
        <v>60</v>
      </c>
      <c r="N8" s="51" t="s">
        <v>60</v>
      </c>
      <c r="O8" s="52" t="s">
        <v>11</v>
      </c>
      <c r="P8" s="52"/>
      <c r="Q8" s="52"/>
      <c r="R8" s="52"/>
      <c r="S8" s="53" t="s">
        <v>24</v>
      </c>
    </row>
    <row r="9" spans="1:19" ht="31.5" customHeight="1">
      <c r="A9" s="45">
        <v>6</v>
      </c>
      <c r="B9" s="45" t="s">
        <v>56</v>
      </c>
      <c r="C9" s="45" t="s">
        <v>57</v>
      </c>
      <c r="D9" s="46" t="s">
        <v>150</v>
      </c>
      <c r="E9" s="47" t="s">
        <v>173</v>
      </c>
      <c r="F9" s="54" t="s">
        <v>151</v>
      </c>
      <c r="G9" s="61" t="s">
        <v>205</v>
      </c>
      <c r="H9" s="54" t="s">
        <v>155</v>
      </c>
      <c r="I9" s="54">
        <v>14051663310</v>
      </c>
      <c r="J9" s="51" t="s">
        <v>154</v>
      </c>
      <c r="K9" s="55" t="s">
        <v>178</v>
      </c>
      <c r="L9" s="40">
        <v>90</v>
      </c>
      <c r="M9" s="47" t="s">
        <v>187</v>
      </c>
      <c r="N9" s="51" t="s">
        <v>180</v>
      </c>
      <c r="O9" s="52" t="s">
        <v>11</v>
      </c>
      <c r="P9" s="56"/>
      <c r="Q9" s="56"/>
      <c r="R9" s="56"/>
      <c r="S9" s="53"/>
    </row>
    <row r="10" spans="1:19" ht="22.5" customHeight="1">
      <c r="A10" s="45">
        <v>7</v>
      </c>
      <c r="B10" s="45" t="s">
        <v>56</v>
      </c>
      <c r="C10" s="45" t="s">
        <v>57</v>
      </c>
      <c r="D10" s="46" t="s">
        <v>150</v>
      </c>
      <c r="E10" s="47" t="s">
        <v>174</v>
      </c>
      <c r="F10" s="48" t="s">
        <v>152</v>
      </c>
      <c r="G10" s="61" t="s">
        <v>203</v>
      </c>
      <c r="H10" s="54" t="s">
        <v>16</v>
      </c>
      <c r="I10" s="54">
        <v>14051668101</v>
      </c>
      <c r="J10" s="51" t="s">
        <v>157</v>
      </c>
      <c r="K10" s="51" t="s">
        <v>161</v>
      </c>
      <c r="L10" s="40">
        <v>120</v>
      </c>
      <c r="M10" s="47" t="s">
        <v>174</v>
      </c>
      <c r="N10" s="51" t="s">
        <v>181</v>
      </c>
      <c r="O10" s="52" t="s">
        <v>11</v>
      </c>
      <c r="P10" s="56"/>
      <c r="Q10" s="56"/>
      <c r="R10" s="56"/>
      <c r="S10" s="56"/>
    </row>
    <row r="11" spans="1:19" ht="27.75" customHeight="1">
      <c r="A11" s="45">
        <v>8</v>
      </c>
      <c r="B11" s="45" t="s">
        <v>56</v>
      </c>
      <c r="C11" s="45" t="s">
        <v>57</v>
      </c>
      <c r="D11" s="46" t="s">
        <v>150</v>
      </c>
      <c r="E11" s="47" t="s">
        <v>168</v>
      </c>
      <c r="F11" s="48" t="s">
        <v>27</v>
      </c>
      <c r="G11" s="61" t="s">
        <v>201</v>
      </c>
      <c r="H11" s="54" t="s">
        <v>68</v>
      </c>
      <c r="I11" s="54">
        <v>14051228554</v>
      </c>
      <c r="J11" s="51" t="s">
        <v>158</v>
      </c>
      <c r="K11" s="51" t="s">
        <v>162</v>
      </c>
      <c r="L11" s="40">
        <v>120</v>
      </c>
      <c r="M11" s="47" t="s">
        <v>168</v>
      </c>
      <c r="N11" s="56" t="s">
        <v>60</v>
      </c>
      <c r="O11" s="52" t="s">
        <v>11</v>
      </c>
      <c r="P11" s="56"/>
      <c r="Q11" s="56" t="s">
        <v>60</v>
      </c>
      <c r="R11" s="56"/>
      <c r="S11" s="56"/>
    </row>
    <row r="12" spans="1:19" ht="24.75" customHeight="1">
      <c r="A12" s="45">
        <v>9</v>
      </c>
      <c r="B12" s="45" t="s">
        <v>56</v>
      </c>
      <c r="C12" s="45" t="s">
        <v>57</v>
      </c>
      <c r="D12" s="46" t="s">
        <v>150</v>
      </c>
      <c r="E12" s="47" t="s">
        <v>168</v>
      </c>
      <c r="F12" s="48" t="s">
        <v>27</v>
      </c>
      <c r="G12" s="61" t="s">
        <v>201</v>
      </c>
      <c r="H12" s="57" t="s">
        <v>10</v>
      </c>
      <c r="I12" s="57">
        <v>14051228554</v>
      </c>
      <c r="J12" s="51" t="s">
        <v>159</v>
      </c>
      <c r="K12" s="51" t="s">
        <v>163</v>
      </c>
      <c r="L12" s="40">
        <v>7</v>
      </c>
      <c r="M12" s="47" t="s">
        <v>168</v>
      </c>
      <c r="N12" s="51" t="s">
        <v>179</v>
      </c>
      <c r="O12" s="56"/>
      <c r="P12" s="52" t="s">
        <v>11</v>
      </c>
      <c r="Q12" s="52">
        <v>1</v>
      </c>
      <c r="R12" s="47" t="s">
        <v>192</v>
      </c>
      <c r="S12" s="56"/>
    </row>
    <row r="13" spans="1:19" ht="27.75" customHeight="1">
      <c r="A13" s="45">
        <v>10</v>
      </c>
      <c r="B13" s="45" t="s">
        <v>56</v>
      </c>
      <c r="C13" s="45" t="s">
        <v>57</v>
      </c>
      <c r="D13" s="46" t="s">
        <v>150</v>
      </c>
      <c r="E13" s="47" t="s">
        <v>166</v>
      </c>
      <c r="F13" s="48" t="s">
        <v>28</v>
      </c>
      <c r="G13" s="61" t="s">
        <v>202</v>
      </c>
      <c r="H13" s="57" t="s">
        <v>16</v>
      </c>
      <c r="I13" s="57">
        <v>14051757719</v>
      </c>
      <c r="J13" s="51" t="s">
        <v>160</v>
      </c>
      <c r="K13" s="51" t="s">
        <v>164</v>
      </c>
      <c r="L13" s="40">
        <v>40</v>
      </c>
      <c r="M13" s="47" t="s">
        <v>166</v>
      </c>
      <c r="N13" s="51" t="s">
        <v>181</v>
      </c>
      <c r="O13" s="56"/>
      <c r="P13" s="52" t="s">
        <v>11</v>
      </c>
      <c r="Q13" s="52">
        <v>1</v>
      </c>
      <c r="R13" s="47" t="s">
        <v>192</v>
      </c>
      <c r="S13" s="56"/>
    </row>
    <row r="14" spans="1:19" ht="39.75">
      <c r="A14" s="45">
        <v>11</v>
      </c>
      <c r="B14" s="45" t="s">
        <v>56</v>
      </c>
      <c r="C14" s="45" t="s">
        <v>57</v>
      </c>
      <c r="D14" s="46" t="s">
        <v>150</v>
      </c>
      <c r="E14" s="47" t="s">
        <v>196</v>
      </c>
      <c r="F14" s="60" t="s">
        <v>206</v>
      </c>
      <c r="G14" s="61" t="s">
        <v>207</v>
      </c>
      <c r="H14" s="48" t="s">
        <v>10</v>
      </c>
      <c r="I14" s="57">
        <v>14051767321</v>
      </c>
      <c r="J14" s="51" t="s">
        <v>197</v>
      </c>
      <c r="K14" s="51" t="s">
        <v>198</v>
      </c>
      <c r="L14" s="40">
        <v>7</v>
      </c>
      <c r="M14" s="47" t="s">
        <v>199</v>
      </c>
      <c r="N14" s="51"/>
      <c r="O14" s="52" t="s">
        <v>11</v>
      </c>
      <c r="P14" s="52"/>
      <c r="Q14" s="52"/>
      <c r="R14" s="47"/>
      <c r="S14" s="56"/>
    </row>
    <row r="15" spans="1:19" ht="32.25" customHeight="1">
      <c r="A15" s="45">
        <v>12</v>
      </c>
      <c r="B15" s="45" t="s">
        <v>56</v>
      </c>
      <c r="C15" s="45" t="s">
        <v>57</v>
      </c>
      <c r="D15" s="46" t="s">
        <v>150</v>
      </c>
      <c r="E15" s="47" t="s">
        <v>241</v>
      </c>
      <c r="F15" s="48" t="s">
        <v>153</v>
      </c>
      <c r="G15" s="61" t="s">
        <v>204</v>
      </c>
      <c r="H15" s="71" t="s">
        <v>69</v>
      </c>
      <c r="I15" s="57">
        <v>14051748602</v>
      </c>
      <c r="J15" s="51" t="s">
        <v>234</v>
      </c>
      <c r="K15" s="70" t="s">
        <v>242</v>
      </c>
      <c r="L15" s="40">
        <v>5</v>
      </c>
      <c r="M15" s="47" t="s">
        <v>238</v>
      </c>
      <c r="N15" s="51" t="s">
        <v>246</v>
      </c>
      <c r="O15" s="72"/>
      <c r="P15" s="52" t="s">
        <v>11</v>
      </c>
      <c r="Q15" s="72"/>
      <c r="R15" s="72"/>
      <c r="S15" s="72"/>
    </row>
    <row r="16" spans="1:19" ht="32.25" customHeight="1">
      <c r="A16" s="45">
        <v>13</v>
      </c>
      <c r="B16" s="45" t="s">
        <v>56</v>
      </c>
      <c r="C16" s="45" t="s">
        <v>57</v>
      </c>
      <c r="D16" s="46" t="s">
        <v>150</v>
      </c>
      <c r="E16" s="47" t="s">
        <v>241</v>
      </c>
      <c r="F16" s="48" t="s">
        <v>153</v>
      </c>
      <c r="G16" s="61" t="s">
        <v>204</v>
      </c>
      <c r="H16" s="57" t="s">
        <v>10</v>
      </c>
      <c r="I16" s="57">
        <v>14051748602</v>
      </c>
      <c r="J16" s="51" t="s">
        <v>235</v>
      </c>
      <c r="K16" s="51" t="s">
        <v>243</v>
      </c>
      <c r="L16" s="40">
        <v>10</v>
      </c>
      <c r="M16" s="47" t="s">
        <v>239</v>
      </c>
      <c r="N16" s="51" t="s">
        <v>247</v>
      </c>
      <c r="O16" s="52" t="s">
        <v>11</v>
      </c>
      <c r="P16" s="72"/>
      <c r="Q16" s="72"/>
      <c r="R16" s="72"/>
      <c r="S16" s="72"/>
    </row>
    <row r="17" spans="1:19" ht="32.25" customHeight="1">
      <c r="A17" s="45">
        <v>14</v>
      </c>
      <c r="B17" s="45" t="s">
        <v>56</v>
      </c>
      <c r="C17" s="45" t="s">
        <v>57</v>
      </c>
      <c r="D17" s="46" t="s">
        <v>150</v>
      </c>
      <c r="E17" s="47" t="s">
        <v>241</v>
      </c>
      <c r="F17" s="48" t="s">
        <v>153</v>
      </c>
      <c r="G17" s="61" t="s">
        <v>204</v>
      </c>
      <c r="H17" s="71" t="s">
        <v>69</v>
      </c>
      <c r="I17" s="57">
        <v>14051748602</v>
      </c>
      <c r="J17" s="51" t="s">
        <v>236</v>
      </c>
      <c r="K17" s="51" t="s">
        <v>244</v>
      </c>
      <c r="L17" s="40">
        <v>15</v>
      </c>
      <c r="M17" s="47" t="s">
        <v>240</v>
      </c>
      <c r="N17" s="51" t="s">
        <v>248</v>
      </c>
      <c r="O17" s="52" t="s">
        <v>11</v>
      </c>
      <c r="P17" s="72"/>
      <c r="Q17" s="72"/>
      <c r="R17" s="72"/>
      <c r="S17" s="72"/>
    </row>
    <row r="18" spans="1:19" ht="32.25" customHeight="1">
      <c r="A18" s="45">
        <v>15</v>
      </c>
      <c r="B18" s="45" t="s">
        <v>56</v>
      </c>
      <c r="C18" s="45" t="s">
        <v>57</v>
      </c>
      <c r="D18" s="46" t="s">
        <v>150</v>
      </c>
      <c r="E18" s="47" t="s">
        <v>241</v>
      </c>
      <c r="F18" s="48" t="s">
        <v>153</v>
      </c>
      <c r="G18" s="61" t="s">
        <v>204</v>
      </c>
      <c r="H18" s="57" t="s">
        <v>16</v>
      </c>
      <c r="I18" s="57">
        <v>14051748602</v>
      </c>
      <c r="J18" s="51" t="s">
        <v>237</v>
      </c>
      <c r="K18" s="70" t="s">
        <v>245</v>
      </c>
      <c r="L18" s="40">
        <v>5</v>
      </c>
      <c r="M18" s="47" t="s">
        <v>238</v>
      </c>
      <c r="N18" s="51" t="s">
        <v>249</v>
      </c>
      <c r="O18" s="52" t="s">
        <v>11</v>
      </c>
      <c r="P18" s="72"/>
      <c r="Q18" s="72"/>
      <c r="R18" s="72"/>
      <c r="S18" s="72"/>
    </row>
  </sheetData>
  <mergeCells count="9">
    <mergeCell ref="O2:O3"/>
    <mergeCell ref="A1:S1"/>
    <mergeCell ref="A2:A3"/>
    <mergeCell ref="P2:P3"/>
    <mergeCell ref="S2:S3"/>
    <mergeCell ref="Q2:Q3"/>
    <mergeCell ref="R2:R3"/>
    <mergeCell ref="K2:N2"/>
    <mergeCell ref="B2:J2"/>
  </mergeCells>
  <phoneticPr fontId="61" type="noConversion"/>
  <pageMargins left="0" right="0" top="0" bottom="0" header="0" footer="0"/>
  <pageSetup paperSize="9" scale="23"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FC737-562B-4E3B-BF9B-C566CBB074C2}">
  <sheetPr codeName="Sheet4"/>
  <dimension ref="A1:W26"/>
  <sheetViews>
    <sheetView rightToLeft="1" zoomScale="80" zoomScaleNormal="80" workbookViewId="0">
      <selection activeCell="D2" sqref="D1:G1048576"/>
    </sheetView>
  </sheetViews>
  <sheetFormatPr defaultRowHeight="15"/>
  <cols>
    <col min="1" max="1" width="7.5703125" style="1" customWidth="1"/>
    <col min="2" max="2" width="15" style="1" customWidth="1"/>
    <col min="3" max="3" width="38.42578125" style="1" customWidth="1"/>
    <col min="4" max="4" width="17.28515625" style="1" customWidth="1"/>
    <col min="5" max="5" width="13.28515625" style="1" customWidth="1"/>
    <col min="6" max="6" width="5.7109375" style="1" bestFit="1" customWidth="1"/>
    <col min="7" max="7" width="8.28515625" style="1" bestFit="1" customWidth="1"/>
    <col min="8" max="8" width="6.85546875" style="1" customWidth="1"/>
    <col min="9" max="9" width="7.28515625" style="1" customWidth="1"/>
    <col min="10" max="10" width="11.5703125" style="1" bestFit="1" customWidth="1"/>
    <col min="11" max="11" width="12" style="1" bestFit="1" customWidth="1"/>
    <col min="12" max="12" width="11.140625" style="1" bestFit="1" customWidth="1"/>
    <col min="13" max="13" width="14" style="1" customWidth="1"/>
    <col min="14" max="14" width="11.42578125" style="1" customWidth="1"/>
    <col min="15" max="15" width="10.5703125" style="1" customWidth="1"/>
    <col min="16" max="16" width="10.140625" style="1" bestFit="1" customWidth="1"/>
    <col min="17" max="17" width="8.7109375" style="1" customWidth="1"/>
    <col min="18" max="19" width="11" style="1" customWidth="1"/>
    <col min="20" max="20" width="13.28515625" style="1" customWidth="1"/>
    <col min="21" max="21" width="15.28515625" style="1" customWidth="1"/>
    <col min="22" max="22" width="10.140625" style="1" customWidth="1"/>
    <col min="23" max="23" width="38.7109375" style="1" customWidth="1"/>
    <col min="24" max="26" width="9.140625" style="1"/>
    <col min="27" max="27" width="10.85546875" style="1" bestFit="1" customWidth="1"/>
    <col min="28" max="32" width="9.140625" style="1"/>
    <col min="33" max="33" width="10.85546875" style="1" bestFit="1" customWidth="1"/>
    <col min="34" max="16384" width="9.140625" style="1"/>
  </cols>
  <sheetData>
    <row r="1" spans="1:23" ht="26.25" thickBot="1">
      <c r="A1" s="577" t="s">
        <v>30</v>
      </c>
      <c r="B1" s="578"/>
      <c r="C1" s="578"/>
      <c r="D1" s="578"/>
      <c r="E1" s="578"/>
      <c r="F1" s="578"/>
      <c r="G1" s="578"/>
      <c r="H1" s="578"/>
      <c r="I1" s="578"/>
      <c r="J1" s="578"/>
      <c r="K1" s="578"/>
      <c r="L1" s="578"/>
      <c r="M1" s="578"/>
      <c r="N1" s="578"/>
      <c r="O1" s="578"/>
      <c r="P1" s="578"/>
      <c r="Q1" s="578"/>
      <c r="R1" s="578"/>
      <c r="S1" s="578"/>
      <c r="T1" s="578"/>
      <c r="U1" s="578"/>
      <c r="V1" s="578"/>
      <c r="W1" s="579"/>
    </row>
    <row r="2" spans="1:23" ht="39" thickBot="1">
      <c r="A2" s="2" t="s">
        <v>31</v>
      </c>
      <c r="B2" s="3" t="s">
        <v>32</v>
      </c>
      <c r="C2" s="4" t="s">
        <v>33</v>
      </c>
      <c r="D2" s="5" t="s">
        <v>34</v>
      </c>
      <c r="E2" s="5" t="s">
        <v>35</v>
      </c>
      <c r="F2" s="5" t="s">
        <v>1</v>
      </c>
      <c r="G2" s="5" t="s">
        <v>36</v>
      </c>
      <c r="H2" s="5" t="s">
        <v>37</v>
      </c>
      <c r="I2" s="6" t="s">
        <v>38</v>
      </c>
      <c r="J2" s="5" t="s">
        <v>39</v>
      </c>
      <c r="K2" s="5" t="s">
        <v>40</v>
      </c>
      <c r="L2" s="5" t="s">
        <v>41</v>
      </c>
      <c r="M2" s="5" t="s">
        <v>42</v>
      </c>
      <c r="N2" s="7" t="s">
        <v>43</v>
      </c>
      <c r="O2" s="7" t="s">
        <v>44</v>
      </c>
      <c r="P2" s="8" t="s">
        <v>45</v>
      </c>
      <c r="Q2" s="7" t="s">
        <v>46</v>
      </c>
      <c r="R2" s="7" t="s">
        <v>47</v>
      </c>
      <c r="S2" s="9" t="s">
        <v>48</v>
      </c>
      <c r="T2" s="7" t="s">
        <v>49</v>
      </c>
      <c r="U2" s="7" t="s">
        <v>50</v>
      </c>
      <c r="V2" s="7" t="s">
        <v>51</v>
      </c>
      <c r="W2" s="10" t="s">
        <v>52</v>
      </c>
    </row>
    <row r="3" spans="1:23" ht="22.5">
      <c r="A3" s="580" t="s">
        <v>53</v>
      </c>
      <c r="B3" s="11" t="s">
        <v>54</v>
      </c>
      <c r="C3" s="583" t="s">
        <v>55</v>
      </c>
      <c r="D3" s="586" t="s">
        <v>56</v>
      </c>
      <c r="E3" s="586" t="s">
        <v>57</v>
      </c>
      <c r="F3" s="586" t="s">
        <v>58</v>
      </c>
      <c r="G3" s="586">
        <v>1402</v>
      </c>
      <c r="H3" s="12" t="s">
        <v>10</v>
      </c>
      <c r="I3" s="13" t="s">
        <v>59</v>
      </c>
      <c r="J3" s="14">
        <v>190</v>
      </c>
      <c r="K3" s="14">
        <v>1500000</v>
      </c>
      <c r="L3" s="589">
        <v>20000000</v>
      </c>
      <c r="M3" s="592">
        <v>12119</v>
      </c>
      <c r="N3" s="595">
        <v>14021913951</v>
      </c>
      <c r="O3" s="574" t="s">
        <v>60</v>
      </c>
      <c r="P3" s="604">
        <v>1807212</v>
      </c>
      <c r="Q3" s="607">
        <v>1</v>
      </c>
      <c r="R3" s="610" t="s">
        <v>61</v>
      </c>
      <c r="S3" s="77"/>
      <c r="T3" s="613" t="s">
        <v>62</v>
      </c>
      <c r="U3" s="613" t="s">
        <v>63</v>
      </c>
      <c r="V3" s="598" t="s">
        <v>64</v>
      </c>
      <c r="W3" s="601" t="s">
        <v>65</v>
      </c>
    </row>
    <row r="4" spans="1:23" ht="22.5">
      <c r="A4" s="581"/>
      <c r="B4" s="73" t="s">
        <v>66</v>
      </c>
      <c r="C4" s="584"/>
      <c r="D4" s="587"/>
      <c r="E4" s="587"/>
      <c r="F4" s="587"/>
      <c r="G4" s="587"/>
      <c r="H4" s="15" t="s">
        <v>16</v>
      </c>
      <c r="I4" s="16" t="s">
        <v>67</v>
      </c>
      <c r="J4" s="14" t="s">
        <v>60</v>
      </c>
      <c r="K4" s="14" t="s">
        <v>60</v>
      </c>
      <c r="L4" s="590"/>
      <c r="M4" s="593"/>
      <c r="N4" s="596"/>
      <c r="O4" s="575"/>
      <c r="P4" s="605"/>
      <c r="Q4" s="608"/>
      <c r="R4" s="611"/>
      <c r="S4" s="78"/>
      <c r="T4" s="614"/>
      <c r="U4" s="614"/>
      <c r="V4" s="599"/>
      <c r="W4" s="602"/>
    </row>
    <row r="5" spans="1:23" ht="22.5">
      <c r="A5" s="581"/>
      <c r="B5" s="73" t="s">
        <v>60</v>
      </c>
      <c r="C5" s="584"/>
      <c r="D5" s="587"/>
      <c r="E5" s="587"/>
      <c r="F5" s="587"/>
      <c r="G5" s="587"/>
      <c r="H5" s="15" t="s">
        <v>68</v>
      </c>
      <c r="I5" s="13" t="s">
        <v>67</v>
      </c>
      <c r="J5" s="14">
        <v>100</v>
      </c>
      <c r="K5" s="14">
        <v>10000000</v>
      </c>
      <c r="L5" s="590"/>
      <c r="M5" s="593"/>
      <c r="N5" s="596"/>
      <c r="O5" s="575"/>
      <c r="P5" s="605"/>
      <c r="Q5" s="608"/>
      <c r="R5" s="611"/>
      <c r="S5" s="78"/>
      <c r="T5" s="614"/>
      <c r="U5" s="614"/>
      <c r="V5" s="599"/>
      <c r="W5" s="602"/>
    </row>
    <row r="6" spans="1:23" ht="26.25" thickBot="1">
      <c r="A6" s="582"/>
      <c r="B6" s="17" t="s">
        <v>60</v>
      </c>
      <c r="C6" s="585"/>
      <c r="D6" s="588"/>
      <c r="E6" s="588"/>
      <c r="F6" s="588"/>
      <c r="G6" s="588"/>
      <c r="H6" s="18" t="s">
        <v>69</v>
      </c>
      <c r="I6" s="16" t="s">
        <v>67</v>
      </c>
      <c r="J6" s="14"/>
      <c r="K6" s="14" t="s">
        <v>60</v>
      </c>
      <c r="L6" s="591"/>
      <c r="M6" s="594"/>
      <c r="N6" s="597"/>
      <c r="O6" s="576"/>
      <c r="P6" s="606"/>
      <c r="Q6" s="609"/>
      <c r="R6" s="612"/>
      <c r="S6" s="79"/>
      <c r="T6" s="615"/>
      <c r="U6" s="615"/>
      <c r="V6" s="600"/>
      <c r="W6" s="603"/>
    </row>
    <row r="7" spans="1:23" s="22" customFormat="1" ht="22.5">
      <c r="A7" s="580" t="s">
        <v>70</v>
      </c>
      <c r="B7" s="11" t="s">
        <v>71</v>
      </c>
      <c r="C7" s="649" t="s">
        <v>72</v>
      </c>
      <c r="D7" s="649" t="s">
        <v>56</v>
      </c>
      <c r="E7" s="649" t="s">
        <v>57</v>
      </c>
      <c r="F7" s="652" t="s">
        <v>58</v>
      </c>
      <c r="G7" s="652">
        <v>1402</v>
      </c>
      <c r="H7" s="12" t="s">
        <v>10</v>
      </c>
      <c r="I7" s="19" t="s">
        <v>59</v>
      </c>
      <c r="J7" s="20">
        <v>28000</v>
      </c>
      <c r="K7" s="21">
        <f>J7*3080</f>
        <v>86240000</v>
      </c>
      <c r="L7" s="21">
        <v>0</v>
      </c>
      <c r="M7" s="592">
        <v>11967</v>
      </c>
      <c r="N7" s="625">
        <v>14021485237</v>
      </c>
      <c r="O7" s="625" t="s">
        <v>60</v>
      </c>
      <c r="P7" s="628">
        <v>1705108</v>
      </c>
      <c r="Q7" s="631">
        <v>1</v>
      </c>
      <c r="R7" s="634" t="s">
        <v>73</v>
      </c>
      <c r="S7" s="74"/>
      <c r="T7" s="598" t="s">
        <v>74</v>
      </c>
      <c r="U7" s="598" t="s">
        <v>75</v>
      </c>
      <c r="V7" s="598" t="s">
        <v>76</v>
      </c>
      <c r="W7" s="616"/>
    </row>
    <row r="8" spans="1:23" s="22" customFormat="1" ht="22.5">
      <c r="A8" s="581"/>
      <c r="B8" s="73"/>
      <c r="C8" s="650"/>
      <c r="D8" s="650"/>
      <c r="E8" s="650"/>
      <c r="F8" s="480"/>
      <c r="G8" s="480"/>
      <c r="H8" s="15" t="s">
        <v>16</v>
      </c>
      <c r="I8" s="23" t="s">
        <v>67</v>
      </c>
      <c r="J8" s="14">
        <v>0</v>
      </c>
      <c r="K8" s="24">
        <v>0</v>
      </c>
      <c r="L8" s="24">
        <v>0</v>
      </c>
      <c r="M8" s="593"/>
      <c r="N8" s="626"/>
      <c r="O8" s="626"/>
      <c r="P8" s="629"/>
      <c r="Q8" s="632"/>
      <c r="R8" s="635"/>
      <c r="S8" s="75"/>
      <c r="T8" s="599"/>
      <c r="U8" s="599"/>
      <c r="V8" s="599"/>
      <c r="W8" s="617"/>
    </row>
    <row r="9" spans="1:23" s="22" customFormat="1" ht="22.5">
      <c r="A9" s="581"/>
      <c r="B9" s="73"/>
      <c r="C9" s="650"/>
      <c r="D9" s="650"/>
      <c r="E9" s="650"/>
      <c r="F9" s="480"/>
      <c r="G9" s="480"/>
      <c r="H9" s="15" t="s">
        <v>68</v>
      </c>
      <c r="I9" s="23" t="s">
        <v>67</v>
      </c>
      <c r="J9" s="14">
        <v>0</v>
      </c>
      <c r="K9" s="24">
        <v>0</v>
      </c>
      <c r="L9" s="24">
        <v>0</v>
      </c>
      <c r="M9" s="593"/>
      <c r="N9" s="626"/>
      <c r="O9" s="626"/>
      <c r="P9" s="629"/>
      <c r="Q9" s="632"/>
      <c r="R9" s="635"/>
      <c r="S9" s="75"/>
      <c r="T9" s="599"/>
      <c r="U9" s="599"/>
      <c r="V9" s="599"/>
      <c r="W9" s="617"/>
    </row>
    <row r="10" spans="1:23" s="22" customFormat="1" ht="26.25" thickBot="1">
      <c r="A10" s="582"/>
      <c r="B10" s="17"/>
      <c r="C10" s="651"/>
      <c r="D10" s="651"/>
      <c r="E10" s="651"/>
      <c r="F10" s="653"/>
      <c r="G10" s="653"/>
      <c r="H10" s="18" t="s">
        <v>69</v>
      </c>
      <c r="I10" s="25" t="s">
        <v>67</v>
      </c>
      <c r="J10" s="26">
        <v>0</v>
      </c>
      <c r="K10" s="27">
        <v>0</v>
      </c>
      <c r="L10" s="27">
        <v>0</v>
      </c>
      <c r="M10" s="594"/>
      <c r="N10" s="627"/>
      <c r="O10" s="627"/>
      <c r="P10" s="630"/>
      <c r="Q10" s="633"/>
      <c r="R10" s="636"/>
      <c r="S10" s="76"/>
      <c r="T10" s="600"/>
      <c r="U10" s="600"/>
      <c r="V10" s="600"/>
      <c r="W10" s="618"/>
    </row>
    <row r="11" spans="1:23" s="22" customFormat="1">
      <c r="A11" s="619" t="s">
        <v>77</v>
      </c>
      <c r="B11" s="11" t="s">
        <v>60</v>
      </c>
      <c r="C11" s="586" t="s">
        <v>78</v>
      </c>
      <c r="D11" s="586" t="s">
        <v>56</v>
      </c>
      <c r="E11" s="586" t="s">
        <v>57</v>
      </c>
      <c r="F11" s="586" t="s">
        <v>58</v>
      </c>
      <c r="G11" s="586">
        <v>1402</v>
      </c>
      <c r="H11" s="12" t="s">
        <v>10</v>
      </c>
      <c r="I11" s="13" t="s">
        <v>59</v>
      </c>
      <c r="J11" s="20"/>
      <c r="K11" s="14"/>
      <c r="L11" s="622">
        <v>0</v>
      </c>
      <c r="M11" s="592">
        <v>11961</v>
      </c>
      <c r="N11" s="625">
        <v>14021456468</v>
      </c>
      <c r="O11" s="646" t="s">
        <v>79</v>
      </c>
      <c r="P11" s="628">
        <v>1789569</v>
      </c>
      <c r="Q11" s="640">
        <v>0.15</v>
      </c>
      <c r="R11" s="634" t="s">
        <v>80</v>
      </c>
      <c r="S11" s="643">
        <v>79210363</v>
      </c>
      <c r="T11" s="598" t="s">
        <v>81</v>
      </c>
      <c r="U11" s="598" t="s">
        <v>82</v>
      </c>
      <c r="V11" s="598" t="s">
        <v>83</v>
      </c>
      <c r="W11" s="637" t="s">
        <v>84</v>
      </c>
    </row>
    <row r="12" spans="1:23" ht="15" customHeight="1">
      <c r="A12" s="620"/>
      <c r="B12" s="73" t="s">
        <v>85</v>
      </c>
      <c r="C12" s="587"/>
      <c r="D12" s="587"/>
      <c r="E12" s="587"/>
      <c r="F12" s="587"/>
      <c r="G12" s="587"/>
      <c r="H12" s="15" t="s">
        <v>16</v>
      </c>
      <c r="I12" s="16" t="s">
        <v>67</v>
      </c>
      <c r="J12" s="14">
        <v>200</v>
      </c>
      <c r="K12" s="14">
        <f>J12*449885</f>
        <v>89977000</v>
      </c>
      <c r="L12" s="623"/>
      <c r="M12" s="593"/>
      <c r="N12" s="626"/>
      <c r="O12" s="647"/>
      <c r="P12" s="629"/>
      <c r="Q12" s="641"/>
      <c r="R12" s="635"/>
      <c r="S12" s="644"/>
      <c r="T12" s="599"/>
      <c r="U12" s="599"/>
      <c r="V12" s="599"/>
      <c r="W12" s="638"/>
    </row>
    <row r="13" spans="1:23">
      <c r="A13" s="620"/>
      <c r="B13" s="73"/>
      <c r="C13" s="587"/>
      <c r="D13" s="587"/>
      <c r="E13" s="587"/>
      <c r="F13" s="587"/>
      <c r="G13" s="587"/>
      <c r="H13" s="15" t="s">
        <v>68</v>
      </c>
      <c r="I13" s="13" t="s">
        <v>67</v>
      </c>
      <c r="J13" s="14"/>
      <c r="K13" s="14"/>
      <c r="L13" s="623"/>
      <c r="M13" s="593"/>
      <c r="N13" s="626"/>
      <c r="O13" s="647"/>
      <c r="P13" s="629"/>
      <c r="Q13" s="641"/>
      <c r="R13" s="635"/>
      <c r="S13" s="644"/>
      <c r="T13" s="599"/>
      <c r="U13" s="599"/>
      <c r="V13" s="599"/>
      <c r="W13" s="638"/>
    </row>
    <row r="14" spans="1:23" ht="26.25" thickBot="1">
      <c r="A14" s="621"/>
      <c r="B14" s="17"/>
      <c r="C14" s="588"/>
      <c r="D14" s="588"/>
      <c r="E14" s="588"/>
      <c r="F14" s="588"/>
      <c r="G14" s="588"/>
      <c r="H14" s="18" t="s">
        <v>69</v>
      </c>
      <c r="I14" s="28" t="s">
        <v>67</v>
      </c>
      <c r="J14" s="26"/>
      <c r="K14" s="26"/>
      <c r="L14" s="624"/>
      <c r="M14" s="594"/>
      <c r="N14" s="627"/>
      <c r="O14" s="648"/>
      <c r="P14" s="630"/>
      <c r="Q14" s="642"/>
      <c r="R14" s="636"/>
      <c r="S14" s="645"/>
      <c r="T14" s="600"/>
      <c r="U14" s="600"/>
      <c r="V14" s="600"/>
      <c r="W14" s="639"/>
    </row>
    <row r="15" spans="1:23" s="22" customFormat="1">
      <c r="A15" s="619" t="s">
        <v>86</v>
      </c>
      <c r="B15" s="11" t="s">
        <v>60</v>
      </c>
      <c r="C15" s="586" t="s">
        <v>87</v>
      </c>
      <c r="D15" s="586" t="s">
        <v>56</v>
      </c>
      <c r="E15" s="586" t="s">
        <v>57</v>
      </c>
      <c r="F15" s="586" t="s">
        <v>58</v>
      </c>
      <c r="G15" s="586">
        <v>1405</v>
      </c>
      <c r="H15" s="12" t="s">
        <v>10</v>
      </c>
      <c r="I15" s="13" t="s">
        <v>59</v>
      </c>
      <c r="J15" s="20">
        <f>K15/600</f>
        <v>66666.666666666672</v>
      </c>
      <c r="K15" s="14">
        <v>40000000</v>
      </c>
      <c r="L15" s="622">
        <v>0</v>
      </c>
      <c r="M15" s="654" t="s">
        <v>88</v>
      </c>
      <c r="N15" s="657" t="s">
        <v>88</v>
      </c>
      <c r="O15" s="657">
        <v>1405141014</v>
      </c>
      <c r="P15" s="628" t="s">
        <v>88</v>
      </c>
      <c r="Q15" s="640">
        <v>0.15</v>
      </c>
      <c r="R15" s="634" t="s">
        <v>80</v>
      </c>
      <c r="S15" s="643">
        <v>79210363</v>
      </c>
      <c r="T15" s="598" t="s">
        <v>89</v>
      </c>
      <c r="U15" s="598" t="s">
        <v>90</v>
      </c>
      <c r="V15" s="598" t="s">
        <v>91</v>
      </c>
      <c r="W15" s="637" t="s">
        <v>92</v>
      </c>
    </row>
    <row r="16" spans="1:23" ht="15" customHeight="1">
      <c r="A16" s="620"/>
      <c r="B16" s="73" t="s">
        <v>93</v>
      </c>
      <c r="C16" s="587"/>
      <c r="D16" s="587"/>
      <c r="E16" s="587"/>
      <c r="F16" s="587"/>
      <c r="G16" s="587"/>
      <c r="H16" s="15" t="s">
        <v>16</v>
      </c>
      <c r="I16" s="16" t="s">
        <v>67</v>
      </c>
      <c r="J16" s="14"/>
      <c r="K16" s="14"/>
      <c r="L16" s="623"/>
      <c r="M16" s="655"/>
      <c r="N16" s="658"/>
      <c r="O16" s="658"/>
      <c r="P16" s="629"/>
      <c r="Q16" s="641"/>
      <c r="R16" s="635"/>
      <c r="S16" s="644"/>
      <c r="T16" s="599"/>
      <c r="U16" s="599"/>
      <c r="V16" s="599"/>
      <c r="W16" s="638"/>
    </row>
    <row r="17" spans="1:23">
      <c r="A17" s="620"/>
      <c r="B17" s="73" t="s">
        <v>60</v>
      </c>
      <c r="C17" s="587"/>
      <c r="D17" s="587"/>
      <c r="E17" s="587"/>
      <c r="F17" s="587"/>
      <c r="G17" s="587"/>
      <c r="H17" s="15" t="s">
        <v>68</v>
      </c>
      <c r="I17" s="13" t="s">
        <v>67</v>
      </c>
      <c r="J17" s="14"/>
      <c r="K17" s="14"/>
      <c r="L17" s="623"/>
      <c r="M17" s="655"/>
      <c r="N17" s="658"/>
      <c r="O17" s="658"/>
      <c r="P17" s="629"/>
      <c r="Q17" s="641"/>
      <c r="R17" s="635"/>
      <c r="S17" s="644"/>
      <c r="T17" s="599"/>
      <c r="U17" s="599"/>
      <c r="V17" s="599"/>
      <c r="W17" s="638"/>
    </row>
    <row r="18" spans="1:23" ht="26.25" thickBot="1">
      <c r="A18" s="621"/>
      <c r="B18" s="17" t="s">
        <v>60</v>
      </c>
      <c r="C18" s="588"/>
      <c r="D18" s="588"/>
      <c r="E18" s="588"/>
      <c r="F18" s="588"/>
      <c r="G18" s="588"/>
      <c r="H18" s="18" t="s">
        <v>69</v>
      </c>
      <c r="I18" s="28" t="s">
        <v>67</v>
      </c>
      <c r="J18" s="26"/>
      <c r="K18" s="26"/>
      <c r="L18" s="624"/>
      <c r="M18" s="656"/>
      <c r="N18" s="659"/>
      <c r="O18" s="659"/>
      <c r="P18" s="630"/>
      <c r="Q18" s="642"/>
      <c r="R18" s="636"/>
      <c r="S18" s="645"/>
      <c r="T18" s="600"/>
      <c r="U18" s="600"/>
      <c r="V18" s="600"/>
      <c r="W18" s="639"/>
    </row>
    <row r="19" spans="1:23" s="22" customFormat="1">
      <c r="A19" s="619" t="s">
        <v>94</v>
      </c>
      <c r="B19" s="11" t="s">
        <v>60</v>
      </c>
      <c r="C19" s="586" t="s">
        <v>95</v>
      </c>
      <c r="D19" s="586" t="s">
        <v>56</v>
      </c>
      <c r="E19" s="586" t="s">
        <v>57</v>
      </c>
      <c r="F19" s="586" t="s">
        <v>58</v>
      </c>
      <c r="G19" s="586">
        <v>1405</v>
      </c>
      <c r="H19" s="12" t="s">
        <v>10</v>
      </c>
      <c r="I19" s="13" t="s">
        <v>59</v>
      </c>
      <c r="J19" s="20">
        <f>K19/600</f>
        <v>50000</v>
      </c>
      <c r="K19" s="14">
        <v>30000000</v>
      </c>
      <c r="L19" s="622">
        <v>0</v>
      </c>
      <c r="M19" s="654" t="s">
        <v>88</v>
      </c>
      <c r="N19" s="657" t="s">
        <v>88</v>
      </c>
      <c r="O19" s="657">
        <v>1405141014</v>
      </c>
      <c r="P19" s="628" t="s">
        <v>88</v>
      </c>
      <c r="Q19" s="640">
        <v>0.15</v>
      </c>
      <c r="R19" s="634" t="s">
        <v>80</v>
      </c>
      <c r="S19" s="643">
        <v>79210363</v>
      </c>
      <c r="T19" s="598" t="s">
        <v>81</v>
      </c>
      <c r="U19" s="598" t="s">
        <v>90</v>
      </c>
      <c r="V19" s="598" t="s">
        <v>91</v>
      </c>
      <c r="W19" s="637" t="s">
        <v>92</v>
      </c>
    </row>
    <row r="20" spans="1:23" ht="15" customHeight="1">
      <c r="A20" s="620"/>
      <c r="B20" s="73" t="s">
        <v>93</v>
      </c>
      <c r="C20" s="587"/>
      <c r="D20" s="587"/>
      <c r="E20" s="587"/>
      <c r="F20" s="587"/>
      <c r="G20" s="587"/>
      <c r="H20" s="15" t="s">
        <v>16</v>
      </c>
      <c r="I20" s="16" t="s">
        <v>67</v>
      </c>
      <c r="J20" s="14"/>
      <c r="K20" s="14"/>
      <c r="L20" s="623"/>
      <c r="M20" s="655"/>
      <c r="N20" s="658"/>
      <c r="O20" s="658"/>
      <c r="P20" s="629"/>
      <c r="Q20" s="641"/>
      <c r="R20" s="635"/>
      <c r="S20" s="644"/>
      <c r="T20" s="599"/>
      <c r="U20" s="599"/>
      <c r="V20" s="599"/>
      <c r="W20" s="638"/>
    </row>
    <row r="21" spans="1:23">
      <c r="A21" s="620"/>
      <c r="B21" s="73" t="s">
        <v>60</v>
      </c>
      <c r="C21" s="587"/>
      <c r="D21" s="587"/>
      <c r="E21" s="587"/>
      <c r="F21" s="587"/>
      <c r="G21" s="587"/>
      <c r="H21" s="15" t="s">
        <v>68</v>
      </c>
      <c r="I21" s="13" t="s">
        <v>67</v>
      </c>
      <c r="J21" s="14"/>
      <c r="K21" s="14"/>
      <c r="L21" s="623"/>
      <c r="M21" s="655"/>
      <c r="N21" s="658"/>
      <c r="O21" s="658"/>
      <c r="P21" s="629"/>
      <c r="Q21" s="641"/>
      <c r="R21" s="635"/>
      <c r="S21" s="644"/>
      <c r="T21" s="599"/>
      <c r="U21" s="599"/>
      <c r="V21" s="599"/>
      <c r="W21" s="638"/>
    </row>
    <row r="22" spans="1:23" ht="26.25" thickBot="1">
      <c r="A22" s="621"/>
      <c r="B22" s="17" t="s">
        <v>60</v>
      </c>
      <c r="C22" s="588"/>
      <c r="D22" s="588"/>
      <c r="E22" s="588"/>
      <c r="F22" s="588"/>
      <c r="G22" s="588"/>
      <c r="H22" s="18" t="s">
        <v>69</v>
      </c>
      <c r="I22" s="28" t="s">
        <v>67</v>
      </c>
      <c r="J22" s="26"/>
      <c r="K22" s="26"/>
      <c r="L22" s="624"/>
      <c r="M22" s="656"/>
      <c r="N22" s="659"/>
      <c r="O22" s="659"/>
      <c r="P22" s="630"/>
      <c r="Q22" s="642"/>
      <c r="R22" s="636"/>
      <c r="S22" s="645"/>
      <c r="T22" s="600"/>
      <c r="U22" s="600"/>
      <c r="V22" s="600"/>
      <c r="W22" s="639"/>
    </row>
    <row r="23" spans="1:23" s="22" customFormat="1">
      <c r="A23" s="619" t="s">
        <v>96</v>
      </c>
      <c r="B23" s="11" t="s">
        <v>60</v>
      </c>
      <c r="C23" s="586" t="s">
        <v>97</v>
      </c>
      <c r="D23" s="586" t="s">
        <v>56</v>
      </c>
      <c r="E23" s="586" t="s">
        <v>57</v>
      </c>
      <c r="F23" s="586" t="s">
        <v>58</v>
      </c>
      <c r="G23" s="586">
        <v>1405</v>
      </c>
      <c r="H23" s="12" t="s">
        <v>10</v>
      </c>
      <c r="I23" s="13" t="s">
        <v>59</v>
      </c>
      <c r="J23" s="20"/>
      <c r="K23" s="14"/>
      <c r="L23" s="622">
        <v>0</v>
      </c>
      <c r="M23" s="654" t="s">
        <v>88</v>
      </c>
      <c r="N23" s="657" t="s">
        <v>88</v>
      </c>
      <c r="O23" s="657">
        <v>1405141014</v>
      </c>
      <c r="P23" s="628" t="s">
        <v>88</v>
      </c>
      <c r="Q23" s="640">
        <v>0.15</v>
      </c>
      <c r="R23" s="634" t="s">
        <v>80</v>
      </c>
      <c r="S23" s="643">
        <v>79210363</v>
      </c>
      <c r="T23" s="598" t="s">
        <v>81</v>
      </c>
      <c r="U23" s="598" t="s">
        <v>90</v>
      </c>
      <c r="V23" s="598" t="s">
        <v>91</v>
      </c>
      <c r="W23" s="637" t="s">
        <v>92</v>
      </c>
    </row>
    <row r="24" spans="1:23" ht="15" customHeight="1">
      <c r="A24" s="620"/>
      <c r="B24" s="73" t="s">
        <v>93</v>
      </c>
      <c r="C24" s="587"/>
      <c r="D24" s="587"/>
      <c r="E24" s="587"/>
      <c r="F24" s="587"/>
      <c r="G24" s="587"/>
      <c r="H24" s="15" t="s">
        <v>16</v>
      </c>
      <c r="I24" s="16" t="s">
        <v>67</v>
      </c>
      <c r="J24" s="14"/>
      <c r="K24" s="14"/>
      <c r="L24" s="623"/>
      <c r="M24" s="655"/>
      <c r="N24" s="658"/>
      <c r="O24" s="658"/>
      <c r="P24" s="629"/>
      <c r="Q24" s="641"/>
      <c r="R24" s="635"/>
      <c r="S24" s="644"/>
      <c r="T24" s="599"/>
      <c r="U24" s="599"/>
      <c r="V24" s="599"/>
      <c r="W24" s="638"/>
    </row>
    <row r="25" spans="1:23">
      <c r="A25" s="620"/>
      <c r="B25" s="73" t="s">
        <v>60</v>
      </c>
      <c r="C25" s="587"/>
      <c r="D25" s="587"/>
      <c r="E25" s="587"/>
      <c r="F25" s="587"/>
      <c r="G25" s="587"/>
      <c r="H25" s="15" t="s">
        <v>68</v>
      </c>
      <c r="I25" s="13" t="s">
        <v>67</v>
      </c>
      <c r="J25" s="14">
        <v>1500</v>
      </c>
      <c r="K25" s="14">
        <v>15000000</v>
      </c>
      <c r="L25" s="623"/>
      <c r="M25" s="655"/>
      <c r="N25" s="658"/>
      <c r="O25" s="658"/>
      <c r="P25" s="629"/>
      <c r="Q25" s="641"/>
      <c r="R25" s="635"/>
      <c r="S25" s="644"/>
      <c r="T25" s="599"/>
      <c r="U25" s="599"/>
      <c r="V25" s="599"/>
      <c r="W25" s="638"/>
    </row>
    <row r="26" spans="1:23" ht="26.25" thickBot="1">
      <c r="A26" s="621"/>
      <c r="B26" s="17" t="s">
        <v>60</v>
      </c>
      <c r="C26" s="588"/>
      <c r="D26" s="588"/>
      <c r="E26" s="588"/>
      <c r="F26" s="588"/>
      <c r="G26" s="588"/>
      <c r="H26" s="18" t="s">
        <v>69</v>
      </c>
      <c r="I26" s="28" t="s">
        <v>67</v>
      </c>
      <c r="J26" s="26"/>
      <c r="K26" s="26"/>
      <c r="L26" s="624"/>
      <c r="M26" s="656"/>
      <c r="N26" s="659"/>
      <c r="O26" s="659"/>
      <c r="P26" s="630"/>
      <c r="Q26" s="642"/>
      <c r="R26" s="636"/>
      <c r="S26" s="645"/>
      <c r="T26" s="600"/>
      <c r="U26" s="600"/>
      <c r="V26" s="600"/>
      <c r="W26" s="639"/>
    </row>
  </sheetData>
  <mergeCells count="106">
    <mergeCell ref="U23:U26"/>
    <mergeCell ref="V23:V26"/>
    <mergeCell ref="W23:W26"/>
    <mergeCell ref="L23:L26"/>
    <mergeCell ref="M23:M26"/>
    <mergeCell ref="N23:N26"/>
    <mergeCell ref="O23:O26"/>
    <mergeCell ref="P23:P26"/>
    <mergeCell ref="Q23:Q26"/>
    <mergeCell ref="A23:A26"/>
    <mergeCell ref="C23:C26"/>
    <mergeCell ref="D23:D26"/>
    <mergeCell ref="E23:E26"/>
    <mergeCell ref="F23:F26"/>
    <mergeCell ref="G23:G26"/>
    <mergeCell ref="R19:R22"/>
    <mergeCell ref="S19:S22"/>
    <mergeCell ref="T19:T22"/>
    <mergeCell ref="A19:A22"/>
    <mergeCell ref="C19:C22"/>
    <mergeCell ref="D19:D22"/>
    <mergeCell ref="E19:E22"/>
    <mergeCell ref="F19:F22"/>
    <mergeCell ref="G19:G22"/>
    <mergeCell ref="R23:R26"/>
    <mergeCell ref="S23:S26"/>
    <mergeCell ref="T23:T26"/>
    <mergeCell ref="U19:U22"/>
    <mergeCell ref="V19:V22"/>
    <mergeCell ref="W19:W22"/>
    <mergeCell ref="L19:L22"/>
    <mergeCell ref="M19:M22"/>
    <mergeCell ref="N19:N22"/>
    <mergeCell ref="O19:O22"/>
    <mergeCell ref="P19:P22"/>
    <mergeCell ref="Q19:Q22"/>
    <mergeCell ref="P11:P14"/>
    <mergeCell ref="R15:R18"/>
    <mergeCell ref="S15:S18"/>
    <mergeCell ref="T15:T18"/>
    <mergeCell ref="U15:U18"/>
    <mergeCell ref="V15:V18"/>
    <mergeCell ref="W15:W18"/>
    <mergeCell ref="L15:L18"/>
    <mergeCell ref="M15:M18"/>
    <mergeCell ref="N15:N18"/>
    <mergeCell ref="O15:O18"/>
    <mergeCell ref="P15:P18"/>
    <mergeCell ref="Q15:Q18"/>
    <mergeCell ref="A15:A18"/>
    <mergeCell ref="C15:C18"/>
    <mergeCell ref="D15:D18"/>
    <mergeCell ref="E15:E18"/>
    <mergeCell ref="F15:F18"/>
    <mergeCell ref="G15:G18"/>
    <mergeCell ref="N11:N14"/>
    <mergeCell ref="O11:O14"/>
    <mergeCell ref="C7:C10"/>
    <mergeCell ref="D7:D10"/>
    <mergeCell ref="E7:E10"/>
    <mergeCell ref="F7:F10"/>
    <mergeCell ref="G7:G10"/>
    <mergeCell ref="M7:M10"/>
    <mergeCell ref="N7:N10"/>
    <mergeCell ref="V7:V10"/>
    <mergeCell ref="W7:W10"/>
    <mergeCell ref="A11:A14"/>
    <mergeCell ref="C11:C14"/>
    <mergeCell ref="D11:D14"/>
    <mergeCell ref="E11:E14"/>
    <mergeCell ref="F11:F14"/>
    <mergeCell ref="G11:G14"/>
    <mergeCell ref="L11:L14"/>
    <mergeCell ref="M11:M14"/>
    <mergeCell ref="O7:O10"/>
    <mergeCell ref="P7:P10"/>
    <mergeCell ref="Q7:Q10"/>
    <mergeCell ref="R7:R10"/>
    <mergeCell ref="T7:T10"/>
    <mergeCell ref="U7:U10"/>
    <mergeCell ref="T11:T14"/>
    <mergeCell ref="U11:U14"/>
    <mergeCell ref="V11:V14"/>
    <mergeCell ref="W11:W14"/>
    <mergeCell ref="Q11:Q14"/>
    <mergeCell ref="R11:R14"/>
    <mergeCell ref="S11:S14"/>
    <mergeCell ref="A7:A10"/>
    <mergeCell ref="O3:O6"/>
    <mergeCell ref="A1:W1"/>
    <mergeCell ref="A3:A6"/>
    <mergeCell ref="C3:C6"/>
    <mergeCell ref="D3:D6"/>
    <mergeCell ref="E3:E6"/>
    <mergeCell ref="F3:F6"/>
    <mergeCell ref="G3:G6"/>
    <mergeCell ref="L3:L6"/>
    <mergeCell ref="M3:M6"/>
    <mergeCell ref="N3:N6"/>
    <mergeCell ref="V3:V6"/>
    <mergeCell ref="W3:W6"/>
    <mergeCell ref="P3:P6"/>
    <mergeCell ref="Q3:Q6"/>
    <mergeCell ref="R3:R6"/>
    <mergeCell ref="T3:T6"/>
    <mergeCell ref="U3:U6"/>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2214B-5079-4C99-9A66-952E765F5B57}">
  <sheetPr codeName="Sheet5"/>
  <dimension ref="A1:G44"/>
  <sheetViews>
    <sheetView rightToLeft="1" zoomScale="110" zoomScaleNormal="110" workbookViewId="0">
      <pane ySplit="1" topLeftCell="A2" activePane="bottomLeft" state="frozen"/>
      <selection pane="bottomLeft" activeCell="I9" sqref="I9"/>
    </sheetView>
  </sheetViews>
  <sheetFormatPr defaultRowHeight="15"/>
  <sheetData>
    <row r="1" spans="1:7" ht="23.25" customHeight="1">
      <c r="A1" s="660" t="s">
        <v>217</v>
      </c>
      <c r="B1" s="660"/>
      <c r="C1" s="660"/>
      <c r="D1" s="660"/>
      <c r="E1" s="660"/>
      <c r="F1" s="660"/>
      <c r="G1" s="660"/>
    </row>
    <row r="2" spans="1:7" ht="25.5">
      <c r="A2" s="68" t="s">
        <v>216</v>
      </c>
      <c r="B2" s="64" t="s">
        <v>230</v>
      </c>
      <c r="C2" s="64" t="s">
        <v>232</v>
      </c>
      <c r="D2" s="64" t="s">
        <v>231</v>
      </c>
      <c r="E2" s="64" t="s">
        <v>233</v>
      </c>
      <c r="F2" s="65" t="s">
        <v>218</v>
      </c>
      <c r="G2" s="65" t="s">
        <v>221</v>
      </c>
    </row>
    <row r="3" spans="1:7" ht="21">
      <c r="A3" s="80">
        <v>1</v>
      </c>
      <c r="B3" s="69">
        <f>D3</f>
        <v>1850</v>
      </c>
      <c r="C3" s="81">
        <v>2099</v>
      </c>
      <c r="D3" s="69">
        <v>1850</v>
      </c>
      <c r="E3" s="81">
        <v>2099</v>
      </c>
      <c r="F3" s="81">
        <f>'Mountlly-R'!C52</f>
        <v>1904</v>
      </c>
      <c r="G3" s="81">
        <f>'Mountlly-R'!D52</f>
        <v>1440</v>
      </c>
    </row>
    <row r="4" spans="1:7" ht="21">
      <c r="A4" s="80">
        <v>2</v>
      </c>
      <c r="B4" s="69">
        <v>1811</v>
      </c>
      <c r="C4" s="81">
        <v>2100</v>
      </c>
      <c r="D4" s="69">
        <v>1811</v>
      </c>
      <c r="E4" s="81">
        <v>2100</v>
      </c>
      <c r="F4" s="81">
        <f>F3</f>
        <v>1904</v>
      </c>
      <c r="G4" s="81">
        <f>G3</f>
        <v>1440</v>
      </c>
    </row>
    <row r="5" spans="1:7" ht="21">
      <c r="A5" s="80">
        <v>4</v>
      </c>
      <c r="B5" s="69">
        <v>1831</v>
      </c>
      <c r="C5" s="82">
        <v>2110</v>
      </c>
      <c r="D5" s="69">
        <v>1831</v>
      </c>
      <c r="E5" s="82">
        <v>2110</v>
      </c>
      <c r="F5" s="81">
        <f t="shared" ref="F5:F32" si="0">F4</f>
        <v>1904</v>
      </c>
      <c r="G5" s="81">
        <f t="shared" ref="G5:G32" si="1">G4</f>
        <v>1440</v>
      </c>
    </row>
    <row r="6" spans="1:7" ht="21">
      <c r="A6" s="80">
        <v>5</v>
      </c>
      <c r="B6" s="83">
        <v>1803</v>
      </c>
      <c r="C6" s="81">
        <v>2103</v>
      </c>
      <c r="D6" s="83">
        <v>1803</v>
      </c>
      <c r="E6" s="81">
        <v>2103</v>
      </c>
      <c r="F6" s="81">
        <f t="shared" si="0"/>
        <v>1904</v>
      </c>
      <c r="G6" s="81">
        <f t="shared" si="1"/>
        <v>1440</v>
      </c>
    </row>
    <row r="7" spans="1:7" ht="21">
      <c r="A7" s="80">
        <v>6</v>
      </c>
      <c r="B7" s="69">
        <v>1836</v>
      </c>
      <c r="C7" s="81">
        <v>2022</v>
      </c>
      <c r="D7" s="69">
        <v>1836</v>
      </c>
      <c r="E7" s="81">
        <v>2022</v>
      </c>
      <c r="F7" s="81">
        <f t="shared" si="0"/>
        <v>1904</v>
      </c>
      <c r="G7" s="81">
        <f t="shared" si="1"/>
        <v>1440</v>
      </c>
    </row>
    <row r="8" spans="1:7" ht="21">
      <c r="A8" s="80">
        <v>7</v>
      </c>
      <c r="B8" s="69">
        <v>1821</v>
      </c>
      <c r="C8" s="81">
        <v>2078</v>
      </c>
      <c r="D8" s="69">
        <v>1821</v>
      </c>
      <c r="E8" s="81">
        <v>2078</v>
      </c>
      <c r="F8" s="81">
        <f t="shared" si="0"/>
        <v>1904</v>
      </c>
      <c r="G8" s="81">
        <f t="shared" si="1"/>
        <v>1440</v>
      </c>
    </row>
    <row r="9" spans="1:7" ht="21">
      <c r="A9" s="84">
        <v>8</v>
      </c>
      <c r="B9" s="69">
        <v>1833</v>
      </c>
      <c r="C9" s="81">
        <v>2086</v>
      </c>
      <c r="D9" s="69">
        <v>1833</v>
      </c>
      <c r="E9" s="81">
        <v>2086</v>
      </c>
      <c r="F9" s="81">
        <f t="shared" si="0"/>
        <v>1904</v>
      </c>
      <c r="G9" s="81">
        <f t="shared" si="1"/>
        <v>1440</v>
      </c>
    </row>
    <row r="10" spans="1:7" ht="21">
      <c r="A10" s="84">
        <v>9</v>
      </c>
      <c r="B10" s="69">
        <v>1834</v>
      </c>
      <c r="C10" s="81">
        <v>2053</v>
      </c>
      <c r="D10" s="69">
        <v>1834</v>
      </c>
      <c r="E10" s="81">
        <v>2053</v>
      </c>
      <c r="F10" s="81">
        <f t="shared" si="0"/>
        <v>1904</v>
      </c>
      <c r="G10" s="81">
        <f t="shared" si="1"/>
        <v>1440</v>
      </c>
    </row>
    <row r="11" spans="1:7" ht="21">
      <c r="A11" s="84">
        <v>10</v>
      </c>
      <c r="B11" s="69">
        <v>1835</v>
      </c>
      <c r="C11" s="81">
        <v>2100</v>
      </c>
      <c r="D11" s="69">
        <v>1835</v>
      </c>
      <c r="E11" s="81">
        <v>2100</v>
      </c>
      <c r="F11" s="81">
        <f t="shared" si="0"/>
        <v>1904</v>
      </c>
      <c r="G11" s="81">
        <f t="shared" si="1"/>
        <v>1440</v>
      </c>
    </row>
    <row r="12" spans="1:7" ht="21">
      <c r="A12" s="84">
        <v>11</v>
      </c>
      <c r="B12" s="69">
        <v>1850</v>
      </c>
      <c r="C12" s="81">
        <v>2079.9962550617374</v>
      </c>
      <c r="D12" s="69">
        <v>1850</v>
      </c>
      <c r="E12" s="81">
        <v>2079.9962550617374</v>
      </c>
      <c r="F12" s="81">
        <f t="shared" si="0"/>
        <v>1904</v>
      </c>
      <c r="G12" s="81">
        <f t="shared" si="1"/>
        <v>1440</v>
      </c>
    </row>
    <row r="13" spans="1:7" ht="21">
      <c r="A13" s="84">
        <v>12</v>
      </c>
      <c r="B13" s="69">
        <v>1860</v>
      </c>
      <c r="C13" s="81">
        <v>2060.1132733228687</v>
      </c>
      <c r="D13" s="69">
        <v>1860</v>
      </c>
      <c r="E13" s="81">
        <v>2060.1132733228687</v>
      </c>
      <c r="F13" s="81">
        <f t="shared" si="0"/>
        <v>1904</v>
      </c>
      <c r="G13" s="81">
        <f t="shared" si="1"/>
        <v>1440</v>
      </c>
    </row>
    <row r="14" spans="1:7" ht="21">
      <c r="A14" s="84">
        <v>13</v>
      </c>
      <c r="B14" s="69">
        <v>1809</v>
      </c>
      <c r="C14" s="81">
        <v>2044</v>
      </c>
      <c r="D14" s="69">
        <v>1809</v>
      </c>
      <c r="E14" s="81">
        <v>2044</v>
      </c>
      <c r="F14" s="81">
        <f t="shared" si="0"/>
        <v>1904</v>
      </c>
      <c r="G14" s="81">
        <f t="shared" si="1"/>
        <v>1440</v>
      </c>
    </row>
    <row r="15" spans="1:7" ht="21">
      <c r="A15" s="84">
        <v>14</v>
      </c>
      <c r="B15" s="69">
        <v>1815</v>
      </c>
      <c r="C15" s="81">
        <v>2024.3520424824596</v>
      </c>
      <c r="D15" s="69">
        <v>1815</v>
      </c>
      <c r="E15" s="81">
        <v>2024.3520424824596</v>
      </c>
      <c r="F15" s="81">
        <f t="shared" si="0"/>
        <v>1904</v>
      </c>
      <c r="G15" s="81">
        <f t="shared" si="1"/>
        <v>1440</v>
      </c>
    </row>
    <row r="16" spans="1:7" ht="21">
      <c r="A16" s="85">
        <v>15</v>
      </c>
      <c r="B16" s="69">
        <v>1865</v>
      </c>
      <c r="C16" s="81">
        <v>2004.8492926295555</v>
      </c>
      <c r="D16" s="69">
        <v>1865</v>
      </c>
      <c r="E16" s="81">
        <v>2004.8492926295555</v>
      </c>
      <c r="F16" s="81">
        <f t="shared" si="0"/>
        <v>1904</v>
      </c>
      <c r="G16" s="81">
        <f t="shared" si="1"/>
        <v>1440</v>
      </c>
    </row>
    <row r="17" spans="1:7" ht="21">
      <c r="A17" s="85">
        <v>16</v>
      </c>
      <c r="B17" s="69">
        <v>1836</v>
      </c>
      <c r="C17" s="81">
        <v>2105</v>
      </c>
      <c r="D17" s="69">
        <v>1836</v>
      </c>
      <c r="E17" s="81">
        <v>2105</v>
      </c>
      <c r="F17" s="81">
        <f t="shared" si="0"/>
        <v>1904</v>
      </c>
      <c r="G17" s="81">
        <f t="shared" si="1"/>
        <v>1440</v>
      </c>
    </row>
    <row r="18" spans="1:7" ht="21">
      <c r="A18" s="85">
        <v>17</v>
      </c>
      <c r="B18" s="69">
        <v>1871</v>
      </c>
      <c r="C18" s="81">
        <v>2084.6449162312147</v>
      </c>
      <c r="D18" s="69">
        <v>1871</v>
      </c>
      <c r="E18" s="81">
        <v>2084.6449162312147</v>
      </c>
      <c r="F18" s="81">
        <f t="shared" si="0"/>
        <v>1904</v>
      </c>
      <c r="G18" s="81">
        <f t="shared" si="1"/>
        <v>1440</v>
      </c>
    </row>
    <row r="19" spans="1:7" ht="21">
      <c r="A19" s="85">
        <v>18</v>
      </c>
      <c r="B19" s="69">
        <v>1823</v>
      </c>
      <c r="C19" s="81">
        <v>2064.4553466049802</v>
      </c>
      <c r="D19" s="69">
        <v>1823</v>
      </c>
      <c r="E19" s="81">
        <v>2064.4553466049802</v>
      </c>
      <c r="F19" s="81">
        <f t="shared" si="0"/>
        <v>1904</v>
      </c>
      <c r="G19" s="81">
        <f t="shared" si="1"/>
        <v>1440</v>
      </c>
    </row>
    <row r="20" spans="1:7" ht="21">
      <c r="A20" s="85">
        <v>19</v>
      </c>
      <c r="B20" s="69">
        <v>1813</v>
      </c>
      <c r="C20" s="81">
        <v>2105</v>
      </c>
      <c r="D20" s="69">
        <v>1813</v>
      </c>
      <c r="E20" s="81">
        <v>2105</v>
      </c>
      <c r="F20" s="81">
        <f t="shared" si="0"/>
        <v>1904</v>
      </c>
      <c r="G20" s="81">
        <f t="shared" si="1"/>
        <v>1440</v>
      </c>
    </row>
    <row r="21" spans="1:7" ht="21">
      <c r="A21" s="85">
        <v>20</v>
      </c>
      <c r="B21" s="69">
        <v>1819</v>
      </c>
      <c r="C21" s="81">
        <v>2084.5592339138452</v>
      </c>
      <c r="D21" s="69">
        <v>1819</v>
      </c>
      <c r="E21" s="81">
        <v>2084.5592339138452</v>
      </c>
      <c r="F21" s="81">
        <f t="shared" si="0"/>
        <v>1904</v>
      </c>
      <c r="G21" s="81">
        <f t="shared" si="1"/>
        <v>1440</v>
      </c>
    </row>
    <row r="22" spans="1:7" ht="21">
      <c r="A22" s="85">
        <v>21</v>
      </c>
      <c r="B22" s="69">
        <v>1861</v>
      </c>
      <c r="C22" s="81">
        <v>2060</v>
      </c>
      <c r="D22" s="69">
        <v>1861</v>
      </c>
      <c r="E22" s="81">
        <v>2060</v>
      </c>
      <c r="F22" s="81">
        <f t="shared" si="0"/>
        <v>1904</v>
      </c>
      <c r="G22" s="81">
        <f t="shared" si="1"/>
        <v>1440</v>
      </c>
    </row>
    <row r="23" spans="1:7" ht="21">
      <c r="A23" s="86">
        <v>22</v>
      </c>
      <c r="B23" s="69">
        <v>1872</v>
      </c>
      <c r="C23" s="81">
        <v>2039.9526463963614</v>
      </c>
      <c r="D23" s="69">
        <v>1872</v>
      </c>
      <c r="E23" s="81">
        <v>2039.9526463963614</v>
      </c>
      <c r="F23" s="81">
        <f t="shared" si="0"/>
        <v>1904</v>
      </c>
      <c r="G23" s="81">
        <f t="shared" si="1"/>
        <v>1440</v>
      </c>
    </row>
    <row r="24" spans="1:7" ht="21">
      <c r="A24" s="86">
        <v>23</v>
      </c>
      <c r="B24" s="69">
        <v>1806</v>
      </c>
      <c r="C24" s="81">
        <v>2020.0815537053136</v>
      </c>
      <c r="D24" s="69">
        <v>1806</v>
      </c>
      <c r="E24" s="81">
        <v>2020.0815537053136</v>
      </c>
      <c r="F24" s="81">
        <f t="shared" si="0"/>
        <v>1904</v>
      </c>
      <c r="G24" s="81">
        <f t="shared" si="1"/>
        <v>1440</v>
      </c>
    </row>
    <row r="25" spans="1:7" ht="21">
      <c r="A25" s="86">
        <v>24</v>
      </c>
      <c r="B25" s="69">
        <v>1834</v>
      </c>
      <c r="C25" s="81">
        <v>2097</v>
      </c>
      <c r="D25" s="69">
        <v>1834</v>
      </c>
      <c r="E25" s="81">
        <v>2097</v>
      </c>
      <c r="F25" s="81">
        <f t="shared" si="0"/>
        <v>1904</v>
      </c>
      <c r="G25" s="81">
        <f t="shared" si="1"/>
        <v>1440</v>
      </c>
    </row>
    <row r="26" spans="1:7" ht="21">
      <c r="A26" s="86">
        <v>25</v>
      </c>
      <c r="B26" s="69">
        <v>1843</v>
      </c>
      <c r="C26" s="81">
        <v>2076.5390168521594</v>
      </c>
      <c r="D26" s="69">
        <v>1843</v>
      </c>
      <c r="E26" s="81">
        <v>2076.5390168521594</v>
      </c>
      <c r="F26" s="81">
        <f t="shared" si="0"/>
        <v>1904</v>
      </c>
      <c r="G26" s="81">
        <f t="shared" si="1"/>
        <v>1440</v>
      </c>
    </row>
    <row r="27" spans="1:7" ht="21">
      <c r="A27" s="86">
        <v>26</v>
      </c>
      <c r="B27" s="69">
        <v>1812</v>
      </c>
      <c r="C27" s="81">
        <v>2056.2626517840481</v>
      </c>
      <c r="D27" s="69">
        <v>1812</v>
      </c>
      <c r="E27" s="81">
        <v>2056.2626517840481</v>
      </c>
      <c r="F27" s="81">
        <f t="shared" si="0"/>
        <v>1904</v>
      </c>
      <c r="G27" s="81">
        <f t="shared" si="1"/>
        <v>1440</v>
      </c>
    </row>
    <row r="28" spans="1:7" ht="21">
      <c r="A28" s="86">
        <v>27</v>
      </c>
      <c r="B28" s="69">
        <v>1817</v>
      </c>
      <c r="C28" s="81">
        <v>2089</v>
      </c>
      <c r="D28" s="69">
        <v>1817</v>
      </c>
      <c r="E28" s="81">
        <v>2089</v>
      </c>
      <c r="F28" s="81">
        <f t="shared" si="0"/>
        <v>1904</v>
      </c>
      <c r="G28" s="81">
        <f t="shared" si="1"/>
        <v>1440</v>
      </c>
    </row>
    <row r="29" spans="1:7" ht="21">
      <c r="A29" s="86">
        <v>28</v>
      </c>
      <c r="B29" s="69">
        <v>1852</v>
      </c>
      <c r="C29" s="81">
        <v>2063</v>
      </c>
      <c r="D29" s="69">
        <v>1852</v>
      </c>
      <c r="E29" s="81">
        <v>2063</v>
      </c>
      <c r="F29" s="81">
        <f t="shared" si="0"/>
        <v>1904</v>
      </c>
      <c r="G29" s="81">
        <f t="shared" si="1"/>
        <v>1440</v>
      </c>
    </row>
    <row r="30" spans="1:7" ht="21">
      <c r="A30" s="87">
        <v>29</v>
      </c>
      <c r="B30" s="69">
        <v>1822</v>
      </c>
      <c r="C30" s="81">
        <v>2033</v>
      </c>
      <c r="D30" s="69">
        <v>1822</v>
      </c>
      <c r="E30" s="81">
        <v>2033</v>
      </c>
      <c r="F30" s="81">
        <f t="shared" si="0"/>
        <v>1904</v>
      </c>
      <c r="G30" s="81">
        <f t="shared" si="1"/>
        <v>1440</v>
      </c>
    </row>
    <row r="31" spans="1:7" ht="21">
      <c r="A31" s="87">
        <v>30</v>
      </c>
      <c r="B31" s="69">
        <v>1827</v>
      </c>
      <c r="C31" s="81">
        <v>2099</v>
      </c>
      <c r="D31" s="69">
        <v>1827</v>
      </c>
      <c r="E31" s="81">
        <v>2099</v>
      </c>
      <c r="F31" s="81">
        <f t="shared" si="0"/>
        <v>1904</v>
      </c>
      <c r="G31" s="81">
        <f t="shared" si="1"/>
        <v>1440</v>
      </c>
    </row>
    <row r="32" spans="1:7" ht="21">
      <c r="A32" s="87">
        <v>31</v>
      </c>
      <c r="B32" s="69">
        <v>1816</v>
      </c>
      <c r="C32" s="81">
        <v>2051</v>
      </c>
      <c r="D32" s="69">
        <v>1816</v>
      </c>
      <c r="E32" s="81">
        <v>2051</v>
      </c>
      <c r="F32" s="81">
        <f t="shared" si="0"/>
        <v>1904</v>
      </c>
      <c r="G32" s="81">
        <f t="shared" si="1"/>
        <v>1440</v>
      </c>
    </row>
    <row r="33" spans="1:7" ht="3.75" customHeight="1">
      <c r="A33" s="97"/>
      <c r="B33" s="97"/>
      <c r="C33" s="97"/>
      <c r="D33" s="97"/>
      <c r="E33" s="97"/>
      <c r="F33" s="97"/>
      <c r="G33" s="97"/>
    </row>
    <row r="34" spans="1:7" ht="26.25">
      <c r="A34" s="83" t="s">
        <v>229</v>
      </c>
      <c r="B34" s="98">
        <f>AVERAGE(B3:B32)</f>
        <v>1832.5666666666666</v>
      </c>
      <c r="C34" s="98">
        <f t="shared" ref="C34:G34" si="2">AVERAGE(C3:C32)</f>
        <v>2069.7602076328185</v>
      </c>
      <c r="D34" s="98">
        <f t="shared" si="2"/>
        <v>1832.5666666666666</v>
      </c>
      <c r="E34" s="98">
        <f t="shared" si="2"/>
        <v>2069.7602076328185</v>
      </c>
      <c r="F34" s="98">
        <f t="shared" si="2"/>
        <v>1904</v>
      </c>
      <c r="G34" s="98">
        <f t="shared" si="2"/>
        <v>1440</v>
      </c>
    </row>
    <row r="35" spans="1:7" ht="18" customHeight="1">
      <c r="A35" s="99" t="s">
        <v>263</v>
      </c>
      <c r="B35" s="100">
        <f>MIN(B3:B8)</f>
        <v>1803</v>
      </c>
      <c r="C35" s="81"/>
      <c r="D35" s="88"/>
      <c r="E35" s="81"/>
      <c r="F35" s="81"/>
      <c r="G35" s="81"/>
    </row>
    <row r="36" spans="1:7" ht="18" customHeight="1">
      <c r="A36" s="99" t="s">
        <v>264</v>
      </c>
      <c r="B36" s="88"/>
      <c r="C36" s="102">
        <f>MAX(C3:C8)</f>
        <v>2110</v>
      </c>
      <c r="D36" s="88"/>
      <c r="E36" s="81"/>
      <c r="F36" s="81"/>
      <c r="G36" s="81"/>
    </row>
    <row r="37" spans="1:7" ht="18" customHeight="1">
      <c r="A37" s="99" t="s">
        <v>265</v>
      </c>
      <c r="B37" s="100">
        <f>MIN(B9:B15)</f>
        <v>1809</v>
      </c>
      <c r="C37" s="81"/>
      <c r="D37" s="88"/>
      <c r="E37" s="81"/>
      <c r="F37" s="81"/>
      <c r="G37" s="81"/>
    </row>
    <row r="38" spans="1:7" ht="18" customHeight="1">
      <c r="A38" s="99" t="s">
        <v>266</v>
      </c>
      <c r="B38" s="88"/>
      <c r="C38" s="102">
        <f>MAX(C9:C15)</f>
        <v>2100</v>
      </c>
      <c r="D38" s="88"/>
      <c r="E38" s="81"/>
      <c r="F38" s="81"/>
      <c r="G38" s="81"/>
    </row>
    <row r="39" spans="1:7" ht="18" customHeight="1">
      <c r="A39" s="99" t="s">
        <v>267</v>
      </c>
      <c r="B39" s="100">
        <f>MIN(B16:B22)</f>
        <v>1813</v>
      </c>
      <c r="C39" s="81"/>
      <c r="D39" s="88"/>
      <c r="E39" s="81"/>
      <c r="F39" s="81"/>
      <c r="G39" s="81"/>
    </row>
    <row r="40" spans="1:7" ht="18" customHeight="1">
      <c r="A40" s="99" t="s">
        <v>268</v>
      </c>
      <c r="B40" s="88"/>
      <c r="C40" s="102">
        <f>MAX(C16:C22)</f>
        <v>2105</v>
      </c>
      <c r="D40" s="88"/>
      <c r="E40" s="81"/>
      <c r="F40" s="81"/>
      <c r="G40" s="81"/>
    </row>
    <row r="41" spans="1:7" ht="18" customHeight="1">
      <c r="A41" s="99" t="s">
        <v>269</v>
      </c>
      <c r="B41" s="100">
        <f>MIN(B23:B29)</f>
        <v>1806</v>
      </c>
      <c r="C41" s="81"/>
      <c r="D41" s="88"/>
      <c r="E41" s="81"/>
      <c r="F41" s="81"/>
      <c r="G41" s="81"/>
    </row>
    <row r="42" spans="1:7" ht="18" customHeight="1">
      <c r="A42" s="99" t="s">
        <v>270</v>
      </c>
      <c r="B42" s="88"/>
      <c r="C42" s="102">
        <f>MAX(C23:C29)</f>
        <v>2097</v>
      </c>
      <c r="D42" s="88"/>
      <c r="E42" s="81"/>
      <c r="F42" s="81"/>
      <c r="G42" s="81"/>
    </row>
    <row r="43" spans="1:7" ht="18" customHeight="1">
      <c r="A43" s="99" t="s">
        <v>271</v>
      </c>
      <c r="B43" s="100">
        <f>MIN(B30:B32)</f>
        <v>1816</v>
      </c>
      <c r="C43" s="81"/>
      <c r="D43" s="88"/>
      <c r="E43" s="81"/>
      <c r="F43" s="81"/>
      <c r="G43" s="81"/>
    </row>
    <row r="44" spans="1:7" ht="21">
      <c r="A44" s="99" t="s">
        <v>272</v>
      </c>
      <c r="B44" s="88"/>
      <c r="C44" s="102">
        <f>MAX( C30:C32)</f>
        <v>2099</v>
      </c>
      <c r="D44" s="88"/>
      <c r="E44" s="81"/>
      <c r="F44" s="81"/>
      <c r="G44" s="81"/>
    </row>
  </sheetData>
  <mergeCells count="1">
    <mergeCell ref="A1:G1"/>
  </mergeCells>
  <phoneticPr fontId="6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2C460-CD45-4EEA-9FF8-047A2EEA5B4D}">
  <sheetPr codeName="Sheet6"/>
  <dimension ref="A11:A16"/>
  <sheetViews>
    <sheetView rightToLeft="1" workbookViewId="0">
      <selection sqref="A1:XFD10"/>
    </sheetView>
  </sheetViews>
  <sheetFormatPr defaultRowHeight="15"/>
  <cols>
    <col min="1" max="1" width="4" style="1" bestFit="1" customWidth="1"/>
    <col min="2" max="2" width="7" style="1" customWidth="1"/>
    <col min="3" max="3" width="10.42578125" style="1" bestFit="1" customWidth="1"/>
    <col min="4" max="5" width="8.140625" style="1" bestFit="1" customWidth="1"/>
    <col min="6" max="6" width="5.7109375" style="1" bestFit="1" customWidth="1"/>
    <col min="7" max="7" width="5.140625" style="1" bestFit="1" customWidth="1"/>
    <col min="8" max="8" width="5.7109375" style="1" bestFit="1" customWidth="1"/>
    <col min="9" max="9" width="4.28515625" style="1" bestFit="1" customWidth="1"/>
    <col min="10" max="10" width="6" style="1" customWidth="1"/>
    <col min="11" max="11" width="4.42578125" style="1" bestFit="1" customWidth="1"/>
    <col min="12" max="12" width="5.140625" style="1" bestFit="1" customWidth="1"/>
    <col min="13" max="13" width="3.42578125" style="1" bestFit="1" customWidth="1"/>
    <col min="14" max="14" width="6.42578125" style="1" bestFit="1" customWidth="1"/>
    <col min="15" max="15" width="4.42578125" style="1" bestFit="1" customWidth="1"/>
    <col min="16" max="16384" width="9.140625" style="1"/>
  </cols>
  <sheetData>
    <row r="11" customFormat="1"/>
    <row r="12" customFormat="1"/>
    <row r="13" customFormat="1"/>
    <row r="14" customFormat="1"/>
    <row r="15" customFormat="1"/>
    <row r="16" customFormat="1"/>
  </sheetData>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2515-4F5A-483A-B913-8CCD6BC5206D}">
  <sheetPr codeName="Sheet2"/>
  <dimension ref="A1:BF10"/>
  <sheetViews>
    <sheetView rightToLeft="1" zoomScale="110" zoomScaleNormal="110" workbookViewId="0">
      <selection activeCell="H4" sqref="H4"/>
    </sheetView>
  </sheetViews>
  <sheetFormatPr defaultRowHeight="21"/>
  <cols>
    <col min="1" max="1" width="5" customWidth="1"/>
    <col min="2" max="2" width="7.85546875" bestFit="1" customWidth="1"/>
    <col min="3" max="3" width="6.85546875" style="1" customWidth="1"/>
    <col min="4" max="4" width="12.28515625" style="1" customWidth="1"/>
    <col min="5" max="5" width="2.42578125" style="58" customWidth="1"/>
    <col min="6" max="6" width="17.42578125" style="58" customWidth="1"/>
    <col min="7" max="7" width="9.85546875" style="58" customWidth="1"/>
    <col min="8" max="9" width="11.42578125" style="58" customWidth="1"/>
    <col min="15" max="15" width="9.7109375" customWidth="1"/>
    <col min="16" max="16" width="7" hidden="1" customWidth="1"/>
    <col min="17" max="17" width="6" hidden="1" customWidth="1"/>
    <col min="18" max="18" width="0.7109375" customWidth="1"/>
    <col min="20" max="20" width="4.7109375" customWidth="1"/>
    <col min="21" max="21" width="11.5703125" customWidth="1"/>
    <col min="22" max="22" width="7" customWidth="1"/>
    <col min="23" max="23" width="7.5703125" customWidth="1"/>
    <col min="24" max="24" width="1.28515625" customWidth="1"/>
    <col min="25" max="25" width="5" bestFit="1" customWidth="1"/>
    <col min="26" max="26" width="30.7109375" customWidth="1"/>
    <col min="27" max="27" width="17.28515625" customWidth="1"/>
    <col min="28" max="30" width="6.5703125" style="1" customWidth="1"/>
    <col min="31" max="31" width="16.7109375" style="1" bestFit="1" customWidth="1"/>
    <col min="32" max="32" width="100.42578125" style="1" customWidth="1"/>
  </cols>
  <sheetData>
    <row r="1" spans="1:58" ht="33" customHeight="1" thickTop="1">
      <c r="A1" s="663" t="s">
        <v>273</v>
      </c>
      <c r="B1" s="664"/>
      <c r="C1" s="664"/>
      <c r="D1" s="664"/>
      <c r="E1" s="664"/>
      <c r="F1" s="664"/>
      <c r="G1" s="664"/>
      <c r="H1" s="664"/>
      <c r="I1" s="664"/>
      <c r="J1" s="664"/>
      <c r="K1" s="664"/>
      <c r="L1" s="664"/>
      <c r="M1" s="664"/>
      <c r="N1" s="664"/>
      <c r="O1" s="664"/>
      <c r="P1" s="664"/>
      <c r="Q1" s="664"/>
      <c r="R1" s="664"/>
      <c r="S1" s="664"/>
      <c r="T1" s="664"/>
      <c r="U1" s="664"/>
      <c r="V1" s="664"/>
      <c r="W1" s="664"/>
      <c r="X1" s="664"/>
      <c r="Y1" s="664"/>
      <c r="Z1" s="665"/>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row>
    <row r="2" spans="1:58" ht="30.75" customHeight="1">
      <c r="A2" s="293" t="s">
        <v>0</v>
      </c>
      <c r="B2" s="264" t="s">
        <v>284</v>
      </c>
      <c r="C2" s="264"/>
      <c r="D2" s="264"/>
      <c r="E2" s="264"/>
      <c r="F2" s="264"/>
      <c r="G2" s="264"/>
      <c r="H2" s="264"/>
      <c r="I2" s="264"/>
      <c r="J2" s="264"/>
      <c r="K2" s="264"/>
      <c r="L2" s="264"/>
      <c r="M2" s="264"/>
      <c r="N2" s="264"/>
      <c r="O2" s="264"/>
      <c r="P2" s="264"/>
      <c r="Q2" s="264"/>
      <c r="R2" s="264"/>
      <c r="S2" s="264" t="s">
        <v>285</v>
      </c>
      <c r="T2" s="264"/>
      <c r="U2" s="264"/>
      <c r="V2" s="264"/>
      <c r="W2" s="264"/>
      <c r="X2" s="264"/>
      <c r="Y2" s="264"/>
      <c r="Z2" s="115" t="s">
        <v>52</v>
      </c>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row>
    <row r="3" spans="1:58" ht="35.25" customHeight="1">
      <c r="A3" s="293"/>
      <c r="B3" s="294" t="s">
        <v>278</v>
      </c>
      <c r="C3" s="294"/>
      <c r="D3" s="295" t="s">
        <v>165</v>
      </c>
      <c r="E3" s="295"/>
      <c r="F3" s="128" t="s">
        <v>337</v>
      </c>
      <c r="G3" s="116" t="s">
        <v>37</v>
      </c>
      <c r="H3" s="121" t="s">
        <v>291</v>
      </c>
      <c r="I3" s="298" t="s">
        <v>342</v>
      </c>
      <c r="J3" s="298"/>
      <c r="K3" s="298"/>
      <c r="L3" s="298"/>
      <c r="M3" s="298"/>
      <c r="N3" s="298"/>
      <c r="O3" s="298"/>
      <c r="P3" s="298"/>
      <c r="Q3" s="298"/>
      <c r="R3" s="298"/>
      <c r="S3" s="296" t="s">
        <v>296</v>
      </c>
      <c r="T3" s="297"/>
      <c r="U3" s="124" t="s">
        <v>293</v>
      </c>
      <c r="V3" s="127" t="s">
        <v>146</v>
      </c>
      <c r="W3" s="295" t="s">
        <v>212</v>
      </c>
      <c r="X3" s="295"/>
      <c r="Y3" s="128" t="s">
        <v>292</v>
      </c>
      <c r="Z3" s="115" t="s">
        <v>294</v>
      </c>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row>
    <row r="4" spans="1:58" ht="24.75" customHeight="1">
      <c r="A4" s="117">
        <v>1</v>
      </c>
      <c r="B4" s="260" t="s">
        <v>279</v>
      </c>
      <c r="C4" s="260"/>
      <c r="D4" s="230">
        <v>14051663235</v>
      </c>
      <c r="E4" s="230"/>
      <c r="F4" s="114"/>
      <c r="G4" s="130" t="s">
        <v>305</v>
      </c>
      <c r="H4" s="46" t="s">
        <v>173</v>
      </c>
      <c r="I4" s="662" t="s">
        <v>306</v>
      </c>
      <c r="J4" s="662"/>
      <c r="K4" s="662"/>
      <c r="L4" s="662"/>
      <c r="M4" s="662"/>
      <c r="N4" s="662"/>
      <c r="O4" s="662"/>
      <c r="P4" s="662"/>
      <c r="Q4" s="662"/>
      <c r="R4" s="662"/>
      <c r="S4" s="230" t="s">
        <v>295</v>
      </c>
      <c r="T4" s="230"/>
      <c r="U4" s="114" t="s">
        <v>297</v>
      </c>
      <c r="V4" s="125" t="s">
        <v>11</v>
      </c>
      <c r="W4" s="231"/>
      <c r="X4" s="231"/>
      <c r="Y4" s="136">
        <v>2</v>
      </c>
      <c r="Z4" s="139" t="s">
        <v>311</v>
      </c>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row>
    <row r="5" spans="1:58" ht="24.75" customHeight="1">
      <c r="A5" s="117">
        <v>2</v>
      </c>
      <c r="B5" s="260" t="s">
        <v>280</v>
      </c>
      <c r="C5" s="260"/>
      <c r="D5" s="230">
        <v>14051621101</v>
      </c>
      <c r="E5" s="230"/>
      <c r="F5" s="114"/>
      <c r="G5" s="46" t="s">
        <v>16</v>
      </c>
      <c r="H5" s="46" t="s">
        <v>174</v>
      </c>
      <c r="I5" s="255" t="s">
        <v>288</v>
      </c>
      <c r="J5" s="255"/>
      <c r="K5" s="255"/>
      <c r="L5" s="255"/>
      <c r="M5" s="255"/>
      <c r="N5" s="255"/>
      <c r="O5" s="255"/>
      <c r="P5" s="255"/>
      <c r="Q5" s="255"/>
      <c r="R5" s="255"/>
      <c r="S5" s="230" t="s">
        <v>301</v>
      </c>
      <c r="T5" s="230"/>
      <c r="U5" s="114" t="s">
        <v>295</v>
      </c>
      <c r="V5" s="125"/>
      <c r="W5" s="231" t="s">
        <v>11</v>
      </c>
      <c r="X5" s="231"/>
      <c r="Y5" s="136">
        <v>1</v>
      </c>
      <c r="Z5" s="139"/>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row>
    <row r="6" spans="1:58" ht="24.75" customHeight="1">
      <c r="A6" s="117">
        <v>3</v>
      </c>
      <c r="B6" s="260" t="s">
        <v>281</v>
      </c>
      <c r="C6" s="260"/>
      <c r="D6" s="230">
        <v>14051228333</v>
      </c>
      <c r="E6" s="230"/>
      <c r="F6" s="114"/>
      <c r="G6" s="140" t="s">
        <v>305</v>
      </c>
      <c r="H6" s="46" t="s">
        <v>300</v>
      </c>
      <c r="I6" s="255" t="s">
        <v>287</v>
      </c>
      <c r="J6" s="255"/>
      <c r="K6" s="255"/>
      <c r="L6" s="255"/>
      <c r="M6" s="255"/>
      <c r="N6" s="255"/>
      <c r="O6" s="255"/>
      <c r="P6" s="255"/>
      <c r="Q6" s="255"/>
      <c r="R6" s="255"/>
      <c r="S6" s="230" t="s">
        <v>302</v>
      </c>
      <c r="T6" s="230"/>
      <c r="U6" s="114" t="s">
        <v>168</v>
      </c>
      <c r="V6" s="125" t="s">
        <v>11</v>
      </c>
      <c r="W6" s="231"/>
      <c r="X6" s="231"/>
      <c r="Y6" s="138">
        <v>0</v>
      </c>
      <c r="Z6" s="139" t="s">
        <v>312</v>
      </c>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row>
    <row r="7" spans="1:58" ht="24.75" customHeight="1">
      <c r="A7" s="117">
        <v>4</v>
      </c>
      <c r="B7" s="232" t="s">
        <v>282</v>
      </c>
      <c r="C7" s="233"/>
      <c r="D7" s="230">
        <v>14051228119</v>
      </c>
      <c r="E7" s="230"/>
      <c r="F7" s="114"/>
      <c r="G7" s="55" t="s">
        <v>155</v>
      </c>
      <c r="H7" s="46" t="s">
        <v>299</v>
      </c>
      <c r="I7" s="661" t="s">
        <v>277</v>
      </c>
      <c r="J7" s="661"/>
      <c r="K7" s="661"/>
      <c r="L7" s="661"/>
      <c r="M7" s="661"/>
      <c r="N7" s="661"/>
      <c r="O7" s="661"/>
      <c r="P7" s="661"/>
      <c r="Q7" s="661"/>
      <c r="R7" s="661"/>
      <c r="S7" s="230" t="s">
        <v>303</v>
      </c>
      <c r="T7" s="230"/>
      <c r="U7" s="114" t="s">
        <v>289</v>
      </c>
      <c r="V7" s="125" t="s">
        <v>11</v>
      </c>
      <c r="W7" s="231"/>
      <c r="X7" s="231"/>
      <c r="Y7" s="136">
        <v>1</v>
      </c>
      <c r="Z7" s="134"/>
      <c r="AA7" s="104"/>
      <c r="AB7" s="104"/>
      <c r="AC7" s="104"/>
      <c r="AD7" s="104"/>
      <c r="AE7" s="104"/>
      <c r="AF7" s="104"/>
      <c r="AG7" s="104"/>
      <c r="AH7" s="104"/>
      <c r="AI7" s="104"/>
      <c r="AJ7" s="104"/>
      <c r="AK7" s="104"/>
      <c r="AL7" s="104"/>
      <c r="AM7" s="104"/>
      <c r="AN7" s="104"/>
      <c r="AO7" s="104"/>
      <c r="AP7" s="104"/>
      <c r="AQ7" s="104"/>
      <c r="AR7" s="104"/>
      <c r="AS7" s="104"/>
      <c r="AT7" s="104"/>
      <c r="AU7" s="104"/>
      <c r="AV7" s="104"/>
      <c r="AW7" s="104"/>
      <c r="AX7" s="104"/>
    </row>
    <row r="8" spans="1:58" ht="24.75" customHeight="1">
      <c r="A8" s="117">
        <v>5</v>
      </c>
      <c r="B8" s="254" t="s">
        <v>283</v>
      </c>
      <c r="C8" s="254"/>
      <c r="D8" s="230">
        <v>14051428126</v>
      </c>
      <c r="E8" s="230"/>
      <c r="F8" s="114"/>
      <c r="G8" s="129" t="s">
        <v>307</v>
      </c>
      <c r="H8" s="46" t="s">
        <v>308</v>
      </c>
      <c r="I8" s="255" t="s">
        <v>286</v>
      </c>
      <c r="J8" s="255"/>
      <c r="K8" s="255"/>
      <c r="L8" s="255"/>
      <c r="M8" s="255"/>
      <c r="N8" s="255"/>
      <c r="O8" s="255"/>
      <c r="P8" s="255"/>
      <c r="Q8" s="255"/>
      <c r="R8" s="255"/>
      <c r="S8" s="230" t="s">
        <v>309</v>
      </c>
      <c r="T8" s="230"/>
      <c r="U8" s="114" t="s">
        <v>310</v>
      </c>
      <c r="V8" s="125"/>
      <c r="W8" s="231" t="s">
        <v>11</v>
      </c>
      <c r="X8" s="231"/>
      <c r="Y8" s="136">
        <v>2</v>
      </c>
      <c r="Z8" s="13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row>
    <row r="9" spans="1:58" ht="24.75" customHeight="1" thickBot="1">
      <c r="A9" s="118">
        <v>6</v>
      </c>
      <c r="B9" s="256" t="s">
        <v>283</v>
      </c>
      <c r="C9" s="256"/>
      <c r="D9" s="257">
        <v>14051127710</v>
      </c>
      <c r="E9" s="257"/>
      <c r="F9" s="122"/>
      <c r="G9" s="123" t="s">
        <v>16</v>
      </c>
      <c r="H9" s="119" t="s">
        <v>298</v>
      </c>
      <c r="I9" s="259" t="s">
        <v>160</v>
      </c>
      <c r="J9" s="259"/>
      <c r="K9" s="259"/>
      <c r="L9" s="259"/>
      <c r="M9" s="259"/>
      <c r="N9" s="259"/>
      <c r="O9" s="259"/>
      <c r="P9" s="259"/>
      <c r="Q9" s="259"/>
      <c r="R9" s="259"/>
      <c r="S9" s="257" t="s">
        <v>304</v>
      </c>
      <c r="T9" s="257"/>
      <c r="U9" s="122" t="s">
        <v>290</v>
      </c>
      <c r="V9" s="126"/>
      <c r="W9" s="258" t="s">
        <v>11</v>
      </c>
      <c r="X9" s="258"/>
      <c r="Y9" s="137">
        <v>3</v>
      </c>
      <c r="Z9" s="135" t="s">
        <v>313</v>
      </c>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row>
    <row r="10" spans="1:58" ht="21.75" thickTop="1"/>
  </sheetData>
  <mergeCells count="39">
    <mergeCell ref="A1:Z1"/>
    <mergeCell ref="A2:A3"/>
    <mergeCell ref="B2:R2"/>
    <mergeCell ref="S2:Y2"/>
    <mergeCell ref="B3:C3"/>
    <mergeCell ref="D3:E3"/>
    <mergeCell ref="I3:R3"/>
    <mergeCell ref="S3:T3"/>
    <mergeCell ref="W3:X3"/>
    <mergeCell ref="B4:C4"/>
    <mergeCell ref="D4:E4"/>
    <mergeCell ref="I4:R4"/>
    <mergeCell ref="S4:T4"/>
    <mergeCell ref="W4:X4"/>
    <mergeCell ref="B5:C5"/>
    <mergeCell ref="D5:E5"/>
    <mergeCell ref="I5:R5"/>
    <mergeCell ref="S5:T5"/>
    <mergeCell ref="W5:X5"/>
    <mergeCell ref="B6:C6"/>
    <mergeCell ref="D6:E6"/>
    <mergeCell ref="I6:R6"/>
    <mergeCell ref="S6:T6"/>
    <mergeCell ref="W6:X6"/>
    <mergeCell ref="B7:C7"/>
    <mergeCell ref="D7:E7"/>
    <mergeCell ref="I7:R7"/>
    <mergeCell ref="S7:T7"/>
    <mergeCell ref="W7:X7"/>
    <mergeCell ref="B8:C8"/>
    <mergeCell ref="D8:E8"/>
    <mergeCell ref="I8:R8"/>
    <mergeCell ref="S8:T8"/>
    <mergeCell ref="W8:X8"/>
    <mergeCell ref="B9:C9"/>
    <mergeCell ref="D9:E9"/>
    <mergeCell ref="I9:R9"/>
    <mergeCell ref="S9:T9"/>
    <mergeCell ref="W9:X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Mountlly-R</vt:lpstr>
      <vt:lpstr>Audit</vt:lpstr>
      <vt:lpstr>Projects</vt:lpstr>
      <vt:lpstr>Candle estick Chart</vt:lpstr>
      <vt:lpstr>General- Info</vt:lpstr>
      <vt:lpstr>Item Banks</vt:lpstr>
      <vt:lpstr>Audit!Print_Area</vt:lpstr>
      <vt:lpstr>'Mountlly-R'!Print_Area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2026-10-10T21:21:23Z</dcterms:modified>
</cp:coreProperties>
</file>